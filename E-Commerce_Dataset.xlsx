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3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<sst xmlns="http://schemas.openxmlformats.org/spreadsheetml/2006/main" count="881" uniqueCount="270">
  <si>
    <t>index</t>
  </si>
  <si>
    <t>Order ID</t>
  </si>
  <si>
    <t>Cust ID</t>
  </si>
  <si>
    <t>Gender</t>
  </si>
  <si>
    <t>Age</t>
  </si>
  <si>
    <t>Age Group</t>
  </si>
  <si>
    <t>Date</t>
  </si>
  <si>
    <t>Month</t>
  </si>
  <si>
    <t>Status</t>
  </si>
  <si>
    <t>Delivered_Flag</t>
  </si>
  <si>
    <t>Channel</t>
  </si>
  <si>
    <t>SKU</t>
  </si>
  <si>
    <t>Category</t>
  </si>
  <si>
    <t>Size</t>
  </si>
  <si>
    <t>Qty</t>
  </si>
  <si>
    <t>currency</t>
  </si>
  <si>
    <t>Amount</t>
  </si>
  <si>
    <t>ship-city</t>
  </si>
  <si>
    <t>ship-state</t>
  </si>
  <si>
    <t>ship-postal-code</t>
  </si>
  <si>
    <t>ship-country</t>
  </si>
  <si>
    <t>B2B</t>
  </si>
  <si>
    <t>171-1029312-3038738</t>
  </si>
  <si>
    <t>Women</t>
  </si>
  <si>
    <t>Delivered</t>
  </si>
  <si>
    <t>Myntra</t>
  </si>
  <si>
    <t>JNE1233-BLUE-KR-031-XXL</t>
  </si>
  <si>
    <t>kurta</t>
  </si>
  <si>
    <t>XXL</t>
  </si>
  <si>
    <t>INR</t>
  </si>
  <si>
    <t>MOHALI</t>
  </si>
  <si>
    <t>PUNJAB</t>
  </si>
  <si>
    <t>IN</t>
  </si>
  <si>
    <t>405-2183842-2225946</t>
  </si>
  <si>
    <t>Ajio</t>
  </si>
  <si>
    <t>SET414-KR-NP-L</t>
  </si>
  <si>
    <t>Set</t>
  </si>
  <si>
    <t>L</t>
  </si>
  <si>
    <t>GURUGRAM</t>
  </si>
  <si>
    <t>HARYANA</t>
  </si>
  <si>
    <t>171-1641533-8921966</t>
  </si>
  <si>
    <t>SET261-KR-PP-S</t>
  </si>
  <si>
    <t>S</t>
  </si>
  <si>
    <t>KOLKATA</t>
  </si>
  <si>
    <t>WEST BENGAL</t>
  </si>
  <si>
    <t>404-7490807-6300351</t>
  </si>
  <si>
    <t>Amazon</t>
  </si>
  <si>
    <t>SET110-KR-PP-M</t>
  </si>
  <si>
    <t>M</t>
  </si>
  <si>
    <t>THANJAVUR</t>
  </si>
  <si>
    <t>TAMIL NADU</t>
  </si>
  <si>
    <t>403-9293516-4577154</t>
  </si>
  <si>
    <t>JNE2294-KR-A-XXL</t>
  </si>
  <si>
    <t>407-1298130-0368305</t>
  </si>
  <si>
    <t>Men</t>
  </si>
  <si>
    <t>Flipkart</t>
  </si>
  <si>
    <t>JNE3797-KR-XXL</t>
  </si>
  <si>
    <t>Western Dress</t>
  </si>
  <si>
    <t>One</t>
  </si>
  <si>
    <t>SANGLI MIRAJ KUPWAD</t>
  </si>
  <si>
    <t>MAHARASHTRA</t>
  </si>
  <si>
    <t>Meesho</t>
  </si>
  <si>
    <t>JNE3801-KR-XXL</t>
  </si>
  <si>
    <t>BENGALURU</t>
  </si>
  <si>
    <t>KARNATAKA</t>
  </si>
  <si>
    <t>171-5561216-3398711</t>
  </si>
  <si>
    <t>Others</t>
  </si>
  <si>
    <t>JNE3405-KR-M</t>
  </si>
  <si>
    <t>408-2935263-2935550</t>
  </si>
  <si>
    <t>JNE3474-KR-E-XL</t>
  </si>
  <si>
    <t>XL</t>
  </si>
  <si>
    <t>404-2648970-9042715</t>
  </si>
  <si>
    <t>JNE3466-KR-L</t>
  </si>
  <si>
    <t>VIJAYAWADA</t>
  </si>
  <si>
    <t>ANDHRA PRADESH</t>
  </si>
  <si>
    <t>JNE3795-KR-S</t>
  </si>
  <si>
    <t>THIRUVANANTHAPURAM</t>
  </si>
  <si>
    <t>KERALA</t>
  </si>
  <si>
    <t>J0181-TP-M</t>
  </si>
  <si>
    <t>Top</t>
  </si>
  <si>
    <t>ARAKONAM</t>
  </si>
  <si>
    <t>408-0265357-4939534</t>
  </si>
  <si>
    <t>SET217-KR-PP-XL</t>
  </si>
  <si>
    <t>GUWAHATI</t>
  </si>
  <si>
    <t>ASSAM</t>
  </si>
  <si>
    <t>403-9268874-7296313</t>
  </si>
  <si>
    <t>SET185-KR-NP-M</t>
  </si>
  <si>
    <t>407-0442660-2736366</t>
  </si>
  <si>
    <t>SET333-KR-DPT-M</t>
  </si>
  <si>
    <t>HYDERABAD</t>
  </si>
  <si>
    <t>TELANGANA</t>
  </si>
  <si>
    <t>406-7482261-1657136</t>
  </si>
  <si>
    <t>Nalli</t>
  </si>
  <si>
    <t>J0124-TP-L</t>
  </si>
  <si>
    <t>NEW DELHI</t>
  </si>
  <si>
    <t>DELHI</t>
  </si>
  <si>
    <t>407-7039962-7080347</t>
  </si>
  <si>
    <t>SET304-KR-DPT-XL</t>
  </si>
  <si>
    <t>Bhubaneswar</t>
  </si>
  <si>
    <t>ODISHA</t>
  </si>
  <si>
    <t>407-3422488-7373923</t>
  </si>
  <si>
    <t>SET184-KR-PP-XS</t>
  </si>
  <si>
    <t>XS</t>
  </si>
  <si>
    <t>SIROHI</t>
  </si>
  <si>
    <t>RAJASTHAN</t>
  </si>
  <si>
    <t>171-8974687-6745940</t>
  </si>
  <si>
    <t>J0161-DR-XXL</t>
  </si>
  <si>
    <t>MUMBAI</t>
  </si>
  <si>
    <t>406-0244536-2177175</t>
  </si>
  <si>
    <t>SET233-KR-PP-M</t>
  </si>
  <si>
    <t>AMRITSAR</t>
  </si>
  <si>
    <t>404-4376789-3345166</t>
  </si>
  <si>
    <t>J0231-SKD-XXXL</t>
  </si>
  <si>
    <t>3XL</t>
  </si>
  <si>
    <t>LUCKNOW</t>
  </si>
  <si>
    <t>UTTAR PRADESH</t>
  </si>
  <si>
    <t>408-1943310-9789160</t>
  </si>
  <si>
    <t>Refunded</t>
  </si>
  <si>
    <t>J0339-DR-XXL</t>
  </si>
  <si>
    <t>403-0950590-5005155</t>
  </si>
  <si>
    <t>SET210-KR-PP-XXXL</t>
  </si>
  <si>
    <t>MADURAI</t>
  </si>
  <si>
    <t>406-3935670-5720350</t>
  </si>
  <si>
    <t>SET110-KR-PP-XS</t>
  </si>
  <si>
    <t>Meerut</t>
  </si>
  <si>
    <t>402-0398999-0011565</t>
  </si>
  <si>
    <t>SET273-KR-NP-M</t>
  </si>
  <si>
    <t>403-5438780-7231546</t>
  </si>
  <si>
    <t>MEN5025-KR-XXL</t>
  </si>
  <si>
    <t>INDORE</t>
  </si>
  <si>
    <t>MADHYA PRADESH</t>
  </si>
  <si>
    <t>406-8343960-8137102</t>
  </si>
  <si>
    <t>JNE3690-TU-XL</t>
  </si>
  <si>
    <t>DAVANAGERE</t>
  </si>
  <si>
    <t>406-0986513-0498758</t>
  </si>
  <si>
    <t>SET184-KR-PP-XXXL</t>
  </si>
  <si>
    <t>RUDRAPUR</t>
  </si>
  <si>
    <t>UTTARAKHAND</t>
  </si>
  <si>
    <t>406-0947452-6044339</t>
  </si>
  <si>
    <t>CHENNAI</t>
  </si>
  <si>
    <t>406-1326018-3426760</t>
  </si>
  <si>
    <t>SET183-KR-DH-XS</t>
  </si>
  <si>
    <t>PRAYAGRAJ</t>
  </si>
  <si>
    <t>406-9281717-2212317</t>
  </si>
  <si>
    <t>GREAT NICOBAR</t>
  </si>
  <si>
    <t xml:space="preserve">ANDAMAN &amp; NICOBAR </t>
  </si>
  <si>
    <t>408-6866119-6793128</t>
  </si>
  <si>
    <t>J0414-DR-XXL</t>
  </si>
  <si>
    <t>AHMEDABAD</t>
  </si>
  <si>
    <t>GUJARAT</t>
  </si>
  <si>
    <t>403-9400852-1350710</t>
  </si>
  <si>
    <t>JNE3601-KR-M</t>
  </si>
  <si>
    <t>SALEM</t>
  </si>
  <si>
    <t>408-2606836-0473931</t>
  </si>
  <si>
    <t>J0231-SKD-XL</t>
  </si>
  <si>
    <t>405-8481179-1130753</t>
  </si>
  <si>
    <t>SET320-KR-NP-S</t>
  </si>
  <si>
    <t>406-9686095-5057139</t>
  </si>
  <si>
    <t>J0351-SET-L</t>
  </si>
  <si>
    <t>VADODARA</t>
  </si>
  <si>
    <t>404-9033015-7527503</t>
  </si>
  <si>
    <t>JNE3368-KR-XL</t>
  </si>
  <si>
    <t>Payyannur</t>
  </si>
  <si>
    <t>402-6932218-7744338</t>
  </si>
  <si>
    <t>SET333-KR-DPT-XS</t>
  </si>
  <si>
    <t>CHANDIGARH</t>
  </si>
  <si>
    <t>408-8796291-5026713</t>
  </si>
  <si>
    <t>JNE3423-KR-XL</t>
  </si>
  <si>
    <t>407-9654105-3225150</t>
  </si>
  <si>
    <t>J0230-SKD-M</t>
  </si>
  <si>
    <t>402-0637532-2672317</t>
  </si>
  <si>
    <t>J0159-DR-L</t>
  </si>
  <si>
    <t>J0334-TP-S</t>
  </si>
  <si>
    <t>PUNE</t>
  </si>
  <si>
    <t>404-3393819-5081930</t>
  </si>
  <si>
    <t>SET397-KR-NP-XS</t>
  </si>
  <si>
    <t>406-5673590-1054739</t>
  </si>
  <si>
    <t>SET389-KR-NP-XL</t>
  </si>
  <si>
    <t>SONIPAT</t>
  </si>
  <si>
    <t>403-5846829-5098742</t>
  </si>
  <si>
    <t>J0248-KR-DPT-S</t>
  </si>
  <si>
    <t>NELLORE</t>
  </si>
  <si>
    <t>171-4087298-3807569</t>
  </si>
  <si>
    <t>NW001-TP-PJ-XXL</t>
  </si>
  <si>
    <t>TIRUCHIRAPPALLI</t>
  </si>
  <si>
    <t>408-7694743-7590732</t>
  </si>
  <si>
    <t>J0092-SET-S</t>
  </si>
  <si>
    <t>406-8068610-1108329</t>
  </si>
  <si>
    <t>JNE3770-KR-S</t>
  </si>
  <si>
    <t>171-7917674-9759550</t>
  </si>
  <si>
    <t>JNE3703-KR-M</t>
  </si>
  <si>
    <t>VARANASI</t>
  </si>
  <si>
    <t>406-2709798-4585159</t>
  </si>
  <si>
    <t>SET210-KR-PP-M</t>
  </si>
  <si>
    <t>UDUPI</t>
  </si>
  <si>
    <t>405-4213846-6141157</t>
  </si>
  <si>
    <t>J0003-SET-M</t>
  </si>
  <si>
    <t>407-7381557-9088310</t>
  </si>
  <si>
    <t>Allahabad</t>
  </si>
  <si>
    <t>403-0817885-3061963</t>
  </si>
  <si>
    <t>J0113-TP-S</t>
  </si>
  <si>
    <t>SOUTH DELHI</t>
  </si>
  <si>
    <t>171-2439278-5433152</t>
  </si>
  <si>
    <t>SET268-KR-NP-XS</t>
  </si>
  <si>
    <t>KHALILABAD</t>
  </si>
  <si>
    <t>405-8874360-4913961</t>
  </si>
  <si>
    <t>J0004-SKD-XXL</t>
  </si>
  <si>
    <t>408-4675134-5301129</t>
  </si>
  <si>
    <t>SET209-KR-PP-XXL</t>
  </si>
  <si>
    <t>402-9907523-6175562</t>
  </si>
  <si>
    <t>SET343-KR-NP-XS</t>
  </si>
  <si>
    <t>SULTANPUR</t>
  </si>
  <si>
    <t>SAR008</t>
  </si>
  <si>
    <t>Saree</t>
  </si>
  <si>
    <t>Free</t>
  </si>
  <si>
    <t>MURWARA KATNI</t>
  </si>
  <si>
    <t>407-7643005-7856329</t>
  </si>
  <si>
    <t>SET402-KR-NP-XXXL</t>
  </si>
  <si>
    <t>407-0381223-7065145</t>
  </si>
  <si>
    <t>J0095-SET-XL</t>
  </si>
  <si>
    <t>407-8538186-6616316</t>
  </si>
  <si>
    <t>SET348-KR-NP-M</t>
  </si>
  <si>
    <t>MAHENDRAGARH</t>
  </si>
  <si>
    <t>403-1785530-0119510</t>
  </si>
  <si>
    <t>PJNE2100-KR-N-6XL</t>
  </si>
  <si>
    <t>6XL</t>
  </si>
  <si>
    <t>403-0824767-1871567</t>
  </si>
  <si>
    <t>MEN5004-KR-XXXL</t>
  </si>
  <si>
    <t>404-8169153-4411563</t>
  </si>
  <si>
    <t>JNE3567-KR-L</t>
  </si>
  <si>
    <t>Bangalore</t>
  </si>
  <si>
    <t>406-5169174-3536336</t>
  </si>
  <si>
    <t>Cancelled</t>
  </si>
  <si>
    <t>JNE3568-KR-XL</t>
  </si>
  <si>
    <t>KALYAN</t>
  </si>
  <si>
    <t>402-2130722-4734768</t>
  </si>
  <si>
    <t>J0090-TP-S</t>
  </si>
  <si>
    <t>404-8399604-8880365</t>
  </si>
  <si>
    <t>JNE3461-KR-XL</t>
  </si>
  <si>
    <t>403-8213196-3804353</t>
  </si>
  <si>
    <t>SET218-KR-NP-S</t>
  </si>
  <si>
    <t>BOKARO STEEL CITY</t>
  </si>
  <si>
    <t>JHARKHAND</t>
  </si>
  <si>
    <t>408-3286680-0659521</t>
  </si>
  <si>
    <t>SAR006</t>
  </si>
  <si>
    <t>Panchkula</t>
  </si>
  <si>
    <t>403-6014983-8111514</t>
  </si>
  <si>
    <t>SET272-KR-PP-S</t>
  </si>
  <si>
    <t>403-6950860-5590722</t>
  </si>
  <si>
    <t>SAR018</t>
  </si>
  <si>
    <t>PATNA</t>
  </si>
  <si>
    <t>BIHAR</t>
  </si>
  <si>
    <t>406-7030051-2742704</t>
  </si>
  <si>
    <t>J0094-KR-XXL</t>
  </si>
  <si>
    <t>404-6041386-2803516</t>
  </si>
  <si>
    <t>J0283-SET-XXL</t>
  </si>
  <si>
    <t>404-7958450-6860328</t>
  </si>
  <si>
    <t>SET339-KR-NP-XS</t>
  </si>
  <si>
    <t>Bengaluru</t>
  </si>
  <si>
    <t>408-7814128-2203552</t>
  </si>
  <si>
    <t>SAR003</t>
  </si>
  <si>
    <t>NAVI MUMBAI</t>
  </si>
  <si>
    <t>403-9793483-6877106</t>
  </si>
  <si>
    <t>SET324-KR-NP-XL</t>
  </si>
  <si>
    <t>402-5297818-3665137</t>
  </si>
  <si>
    <t>SET403-KR-NP-XL</t>
  </si>
  <si>
    <t>VARKALA</t>
  </si>
  <si>
    <t>171-2070545-3786767</t>
  </si>
  <si>
    <t>J0349-SET-XS</t>
  </si>
  <si>
    <t>BIKANER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</si>
</sst>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"/>
    <numFmt numFmtId="179" formatCode="0_);[Red]\(0\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0" xfId="0" applyFont="1" applyFill="1" applyAlignment="1"/>
    <xf numFmtId="178" fontId="1" fillId="0" borderId="0" xfId="0" applyNumberFormat="1" applyFont="1" applyFill="1" applyAlignment="1"/>
    <xf numFmtId="179" fontId="1" fillId="2" borderId="0" xfId="0" applyNumberFormat="1" applyFont="1" applyFill="1" applyAlignment="1"/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178" fontId="0" fillId="0" borderId="0" xfId="0" applyNumberFormat="1" applyFont="1" applyFill="1" applyAlignment="1"/>
    <xf numFmtId="58" fontId="0" fillId="0" borderId="0" xfId="0" applyNumberFormat="1" applyFont="1" applyFill="1" applyAlignment="1"/>
    <xf numFmtId="179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tabSelected="1" zoomScale="145" zoomScaleNormal="145" topLeftCell="A29" workbookViewId="0">
      <selection activeCell="K33" sqref="K33"/>
    </sheetView>
  </sheetViews>
  <sheetFormatPr defaultColWidth="9.14285714285714" defaultRowHeight="15"/>
  <cols>
    <col min="7" max="7" width="11.142857142857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2" t="s">
        <v>7</v>
      </c>
      <c r="I1" s="1" t="s">
        <v>8</v>
      </c>
      <c r="J1" s="4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5">
        <v>1</v>
      </c>
      <c r="B2" s="5" t="s">
        <v>22</v>
      </c>
      <c r="C2" s="5">
        <v>1029312</v>
      </c>
      <c r="D2" s="5" t="s">
        <v>23</v>
      </c>
      <c r="E2" s="5">
        <v>44</v>
      </c>
      <c r="F2" s="6" t="str" cm="1">
        <f t="array" ref="F2">_xlfn.IFS(E2&gt;=50,"Senior",E2&gt;=30,"Adult",E2&lt;30,"Teenager")</f>
        <v>Adult</v>
      </c>
      <c r="G2" s="7">
        <v>44899</v>
      </c>
      <c r="H2" s="8" t="str">
        <f t="shared" ref="H2:H65" si="0">TEXT(G2,"MMM")</f>
        <v>Dec</v>
      </c>
      <c r="I2" s="5" t="s">
        <v>24</v>
      </c>
      <c r="J2" s="9">
        <f t="shared" ref="J2:J65" si="1">IF(I2="Delivered",1,0)</f>
        <v>1</v>
      </c>
      <c r="K2" s="5" t="s">
        <v>25</v>
      </c>
      <c r="L2" s="5" t="s">
        <v>26</v>
      </c>
      <c r="M2" s="5" t="s">
        <v>27</v>
      </c>
      <c r="N2" s="5" t="s">
        <v>28</v>
      </c>
      <c r="O2" s="5">
        <v>1</v>
      </c>
      <c r="P2" s="5" t="s">
        <v>29</v>
      </c>
      <c r="Q2" s="5">
        <v>376</v>
      </c>
      <c r="R2" s="5" t="s">
        <v>30</v>
      </c>
      <c r="S2" s="5" t="s">
        <v>31</v>
      </c>
      <c r="T2" s="5">
        <v>140301</v>
      </c>
      <c r="U2" s="5" t="s">
        <v>32</v>
      </c>
      <c r="V2" s="5" t="b">
        <v>0</v>
      </c>
    </row>
    <row r="3" spans="1:22">
      <c r="A3" s="5">
        <v>2</v>
      </c>
      <c r="B3" s="5" t="s">
        <v>33</v>
      </c>
      <c r="C3" s="5">
        <v>2183842</v>
      </c>
      <c r="D3" s="5" t="s">
        <v>23</v>
      </c>
      <c r="E3" s="5">
        <v>29</v>
      </c>
      <c r="F3" s="6" t="str" cm="1">
        <f t="array" ref="F3">_xlfn.IFS(E3&gt;=50,"Senior",E3&gt;=30,"Adult",E3&lt;30,"Teenager")</f>
        <v>Teenager</v>
      </c>
      <c r="G3" s="7">
        <v>44899</v>
      </c>
      <c r="H3" s="8" t="str">
        <f t="shared" si="0"/>
        <v>Dec</v>
      </c>
      <c r="I3" s="5" t="s">
        <v>24</v>
      </c>
      <c r="J3" s="9">
        <f t="shared" si="1"/>
        <v>1</v>
      </c>
      <c r="K3" s="5" t="s">
        <v>34</v>
      </c>
      <c r="L3" s="5" t="s">
        <v>35</v>
      </c>
      <c r="M3" s="5" t="s">
        <v>36</v>
      </c>
      <c r="N3" s="5" t="s">
        <v>37</v>
      </c>
      <c r="O3" s="5">
        <v>1</v>
      </c>
      <c r="P3" s="5" t="s">
        <v>29</v>
      </c>
      <c r="Q3" s="5">
        <v>1449</v>
      </c>
      <c r="R3" s="5" t="s">
        <v>38</v>
      </c>
      <c r="S3" s="5" t="s">
        <v>39</v>
      </c>
      <c r="T3" s="5">
        <v>122002</v>
      </c>
      <c r="U3" s="5" t="s">
        <v>32</v>
      </c>
      <c r="V3" s="5" t="b">
        <v>0</v>
      </c>
    </row>
    <row r="4" spans="1:22">
      <c r="A4" s="5">
        <v>3</v>
      </c>
      <c r="B4" s="5" t="s">
        <v>40</v>
      </c>
      <c r="C4" s="5">
        <v>1641533</v>
      </c>
      <c r="D4" s="5" t="s">
        <v>23</v>
      </c>
      <c r="E4" s="5">
        <v>67</v>
      </c>
      <c r="F4" s="6" t="str" cm="1">
        <f t="array" ref="F4">_xlfn.IFS(E4&gt;=50,"Senior",E4&gt;=30,"Adult",E4&lt;30,"Teenager")</f>
        <v>Senior</v>
      </c>
      <c r="G4" s="7">
        <v>44899</v>
      </c>
      <c r="H4" s="8" t="str">
        <f t="shared" si="0"/>
        <v>Dec</v>
      </c>
      <c r="I4" s="5" t="s">
        <v>24</v>
      </c>
      <c r="J4" s="9">
        <f t="shared" si="1"/>
        <v>1</v>
      </c>
      <c r="K4" s="5" t="s">
        <v>25</v>
      </c>
      <c r="L4" s="5" t="s">
        <v>41</v>
      </c>
      <c r="M4" s="5" t="s">
        <v>36</v>
      </c>
      <c r="N4" s="5" t="s">
        <v>42</v>
      </c>
      <c r="O4" s="5">
        <v>1</v>
      </c>
      <c r="P4" s="5" t="s">
        <v>29</v>
      </c>
      <c r="Q4" s="5">
        <v>453</v>
      </c>
      <c r="R4" s="5" t="s">
        <v>43</v>
      </c>
      <c r="S4" s="5" t="s">
        <v>44</v>
      </c>
      <c r="T4" s="5">
        <v>700029</v>
      </c>
      <c r="U4" s="5" t="s">
        <v>32</v>
      </c>
      <c r="V4" s="5" t="b">
        <v>0</v>
      </c>
    </row>
    <row r="5" spans="1:22">
      <c r="A5" s="5">
        <v>4</v>
      </c>
      <c r="B5" s="5" t="s">
        <v>45</v>
      </c>
      <c r="C5" s="5">
        <v>7490807</v>
      </c>
      <c r="D5" s="5" t="s">
        <v>23</v>
      </c>
      <c r="E5" s="5">
        <v>20</v>
      </c>
      <c r="F5" s="6" t="str" cm="1">
        <f t="array" ref="F5">_xlfn.IFS(E5&gt;=50,"Senior",E5&gt;=30,"Adult",E5&lt;30,"Teenager")</f>
        <v>Teenager</v>
      </c>
      <c r="G5" s="7">
        <v>44899</v>
      </c>
      <c r="H5" s="8" t="str">
        <f t="shared" si="0"/>
        <v>Dec</v>
      </c>
      <c r="I5" s="5" t="s">
        <v>24</v>
      </c>
      <c r="J5" s="9">
        <f t="shared" si="1"/>
        <v>1</v>
      </c>
      <c r="K5" s="5" t="s">
        <v>46</v>
      </c>
      <c r="L5" s="5" t="s">
        <v>47</v>
      </c>
      <c r="M5" s="5" t="s">
        <v>36</v>
      </c>
      <c r="N5" s="5" t="s">
        <v>48</v>
      </c>
      <c r="O5" s="5">
        <v>1</v>
      </c>
      <c r="P5" s="5" t="s">
        <v>29</v>
      </c>
      <c r="Q5" s="5">
        <v>729</v>
      </c>
      <c r="R5" s="5" t="s">
        <v>49</v>
      </c>
      <c r="S5" s="5" t="s">
        <v>50</v>
      </c>
      <c r="T5" s="5">
        <v>613007</v>
      </c>
      <c r="U5" s="5" t="s">
        <v>32</v>
      </c>
      <c r="V5" s="5" t="b">
        <v>0</v>
      </c>
    </row>
    <row r="6" spans="1:22">
      <c r="A6" s="5">
        <v>5</v>
      </c>
      <c r="B6" s="5" t="s">
        <v>51</v>
      </c>
      <c r="C6" s="5">
        <v>9293516</v>
      </c>
      <c r="D6" s="5" t="s">
        <v>23</v>
      </c>
      <c r="E6" s="5">
        <v>62</v>
      </c>
      <c r="F6" s="6" t="str" cm="1">
        <f t="array" ref="F6">_xlfn.IFS(E6&gt;=50,"Senior",E6&gt;=30,"Adult",E6&lt;30,"Teenager")</f>
        <v>Senior</v>
      </c>
      <c r="G6" s="7">
        <v>44899</v>
      </c>
      <c r="H6" s="8" t="str">
        <f t="shared" si="0"/>
        <v>Dec</v>
      </c>
      <c r="I6" s="5" t="s">
        <v>24</v>
      </c>
      <c r="J6" s="9">
        <f t="shared" si="1"/>
        <v>1</v>
      </c>
      <c r="K6" s="5" t="s">
        <v>25</v>
      </c>
      <c r="L6" s="5" t="s">
        <v>52</v>
      </c>
      <c r="M6" s="5" t="s">
        <v>27</v>
      </c>
      <c r="N6" s="5" t="s">
        <v>28</v>
      </c>
      <c r="O6" s="5">
        <v>1</v>
      </c>
      <c r="P6" s="5" t="s">
        <v>29</v>
      </c>
      <c r="Q6" s="5">
        <v>544</v>
      </c>
      <c r="R6" s="5" t="s">
        <v>38</v>
      </c>
      <c r="S6" s="5" t="s">
        <v>39</v>
      </c>
      <c r="T6" s="5">
        <v>122001</v>
      </c>
      <c r="U6" s="5" t="s">
        <v>32</v>
      </c>
      <c r="V6" s="5" t="b">
        <v>0</v>
      </c>
    </row>
    <row r="7" spans="1:22">
      <c r="A7" s="5">
        <v>6</v>
      </c>
      <c r="B7" s="5" t="s">
        <v>53</v>
      </c>
      <c r="C7" s="5">
        <v>1298130</v>
      </c>
      <c r="D7" s="5" t="s">
        <v>54</v>
      </c>
      <c r="E7" s="5">
        <v>49</v>
      </c>
      <c r="F7" s="6" t="str" cm="1">
        <f t="array" ref="F7">_xlfn.IFS(E7&gt;=50,"Senior",E7&gt;=30,"Adult",E7&lt;30,"Teenager")</f>
        <v>Adult</v>
      </c>
      <c r="G7" s="7">
        <v>44899</v>
      </c>
      <c r="H7" s="8" t="str">
        <f t="shared" si="0"/>
        <v>Dec</v>
      </c>
      <c r="I7" s="5" t="s">
        <v>24</v>
      </c>
      <c r="J7" s="9">
        <f t="shared" si="1"/>
        <v>1</v>
      </c>
      <c r="K7" s="5" t="s">
        <v>55</v>
      </c>
      <c r="L7" s="5" t="s">
        <v>56</v>
      </c>
      <c r="M7" s="5" t="s">
        <v>57</v>
      </c>
      <c r="N7" s="5" t="s">
        <v>28</v>
      </c>
      <c r="O7" s="5" t="s">
        <v>58</v>
      </c>
      <c r="P7" s="5" t="s">
        <v>29</v>
      </c>
      <c r="Q7" s="5">
        <v>735</v>
      </c>
      <c r="R7" s="5" t="s">
        <v>59</v>
      </c>
      <c r="S7" s="5" t="s">
        <v>60</v>
      </c>
      <c r="T7" s="5">
        <v>416436</v>
      </c>
      <c r="U7" s="5" t="s">
        <v>32</v>
      </c>
      <c r="V7" s="5" t="b">
        <v>0</v>
      </c>
    </row>
    <row r="8" spans="1:22">
      <c r="A8" s="5">
        <v>7</v>
      </c>
      <c r="B8" s="5" t="s">
        <v>53</v>
      </c>
      <c r="C8" s="5">
        <v>1298130</v>
      </c>
      <c r="D8" s="5" t="s">
        <v>23</v>
      </c>
      <c r="E8" s="5">
        <v>23</v>
      </c>
      <c r="F8" s="6" t="str" cm="1">
        <f t="array" ref="F8">_xlfn.IFS(E8&gt;=50,"Senior",E8&gt;=30,"Adult",E8&lt;30,"Teenager")</f>
        <v>Teenager</v>
      </c>
      <c r="G8" s="7">
        <v>44899</v>
      </c>
      <c r="H8" s="8" t="str">
        <f t="shared" si="0"/>
        <v>Dec</v>
      </c>
      <c r="I8" s="5" t="s">
        <v>24</v>
      </c>
      <c r="J8" s="9">
        <f t="shared" si="1"/>
        <v>1</v>
      </c>
      <c r="K8" s="5" t="s">
        <v>61</v>
      </c>
      <c r="L8" s="5" t="s">
        <v>62</v>
      </c>
      <c r="M8" s="5" t="s">
        <v>27</v>
      </c>
      <c r="N8" s="5" t="s">
        <v>28</v>
      </c>
      <c r="O8" s="5">
        <v>1</v>
      </c>
      <c r="P8" s="5" t="s">
        <v>29</v>
      </c>
      <c r="Q8" s="5">
        <v>735</v>
      </c>
      <c r="R8" s="5" t="s">
        <v>63</v>
      </c>
      <c r="S8" s="5" t="s">
        <v>64</v>
      </c>
      <c r="T8" s="5">
        <v>560029</v>
      </c>
      <c r="U8" s="5" t="s">
        <v>32</v>
      </c>
      <c r="V8" s="5" t="b">
        <v>0</v>
      </c>
    </row>
    <row r="9" spans="1:22">
      <c r="A9" s="5">
        <v>8</v>
      </c>
      <c r="B9" s="5" t="s">
        <v>65</v>
      </c>
      <c r="C9" s="5">
        <v>5561216</v>
      </c>
      <c r="D9" s="5" t="s">
        <v>23</v>
      </c>
      <c r="E9" s="5">
        <v>70</v>
      </c>
      <c r="F9" s="6" t="str" cm="1">
        <f t="array" ref="F9">_xlfn.IFS(E9&gt;=50,"Senior",E9&gt;=30,"Adult",E9&lt;30,"Teenager")</f>
        <v>Senior</v>
      </c>
      <c r="G9" s="7">
        <v>44899</v>
      </c>
      <c r="H9" s="8" t="str">
        <f t="shared" si="0"/>
        <v>Dec</v>
      </c>
      <c r="I9" s="5" t="s">
        <v>24</v>
      </c>
      <c r="J9" s="9">
        <f t="shared" si="1"/>
        <v>1</v>
      </c>
      <c r="K9" s="5" t="s">
        <v>66</v>
      </c>
      <c r="L9" s="5" t="s">
        <v>67</v>
      </c>
      <c r="M9" s="5" t="s">
        <v>27</v>
      </c>
      <c r="N9" s="5" t="s">
        <v>48</v>
      </c>
      <c r="O9" s="5">
        <v>1</v>
      </c>
      <c r="P9" s="5" t="s">
        <v>29</v>
      </c>
      <c r="Q9" s="5">
        <v>435</v>
      </c>
      <c r="R9" s="5" t="s">
        <v>38</v>
      </c>
      <c r="S9" s="5" t="s">
        <v>39</v>
      </c>
      <c r="T9" s="5">
        <v>122001</v>
      </c>
      <c r="U9" s="5" t="s">
        <v>32</v>
      </c>
      <c r="V9" s="5" t="b">
        <v>0</v>
      </c>
    </row>
    <row r="10" spans="1:22">
      <c r="A10" s="5">
        <v>9</v>
      </c>
      <c r="B10" s="5" t="s">
        <v>68</v>
      </c>
      <c r="C10" s="5">
        <v>2935263</v>
      </c>
      <c r="D10" s="5" t="s">
        <v>23</v>
      </c>
      <c r="E10" s="5">
        <v>75</v>
      </c>
      <c r="F10" s="6" t="str" cm="1">
        <f t="array" ref="F10">_xlfn.IFS(E10&gt;=50,"Senior",E10&gt;=30,"Adult",E10&lt;30,"Teenager")</f>
        <v>Senior</v>
      </c>
      <c r="G10" s="7">
        <v>44899</v>
      </c>
      <c r="H10" s="8" t="str">
        <f t="shared" si="0"/>
        <v>Dec</v>
      </c>
      <c r="I10" s="5" t="s">
        <v>24</v>
      </c>
      <c r="J10" s="9">
        <f t="shared" si="1"/>
        <v>1</v>
      </c>
      <c r="K10" s="5" t="s">
        <v>46</v>
      </c>
      <c r="L10" s="5" t="s">
        <v>69</v>
      </c>
      <c r="M10" s="5" t="s">
        <v>27</v>
      </c>
      <c r="N10" s="5" t="s">
        <v>70</v>
      </c>
      <c r="O10" s="5">
        <v>1</v>
      </c>
      <c r="P10" s="5" t="s">
        <v>29</v>
      </c>
      <c r="Q10" s="5">
        <v>385</v>
      </c>
      <c r="R10" s="5" t="s">
        <v>63</v>
      </c>
      <c r="S10" s="5" t="s">
        <v>64</v>
      </c>
      <c r="T10" s="5">
        <v>562149</v>
      </c>
      <c r="U10" s="5" t="s">
        <v>32</v>
      </c>
      <c r="V10" s="5" t="b">
        <v>0</v>
      </c>
    </row>
    <row r="11" spans="1:22">
      <c r="A11" s="5">
        <v>10</v>
      </c>
      <c r="B11" s="5" t="s">
        <v>71</v>
      </c>
      <c r="C11" s="5">
        <v>2648970</v>
      </c>
      <c r="D11" s="5" t="s">
        <v>23</v>
      </c>
      <c r="E11" s="5">
        <v>43</v>
      </c>
      <c r="F11" s="6" t="str" cm="1">
        <f t="array" ref="F11">_xlfn.IFS(E11&gt;=50,"Senior",E11&gt;=30,"Adult",E11&lt;30,"Teenager")</f>
        <v>Adult</v>
      </c>
      <c r="G11" s="7">
        <v>44899</v>
      </c>
      <c r="H11" s="8" t="str">
        <f t="shared" si="0"/>
        <v>Dec</v>
      </c>
      <c r="I11" s="5" t="s">
        <v>24</v>
      </c>
      <c r="J11" s="9">
        <f t="shared" si="1"/>
        <v>1</v>
      </c>
      <c r="K11" s="5" t="s">
        <v>25</v>
      </c>
      <c r="L11" s="5" t="s">
        <v>72</v>
      </c>
      <c r="M11" s="5" t="s">
        <v>27</v>
      </c>
      <c r="N11" s="5" t="s">
        <v>37</v>
      </c>
      <c r="O11" s="5">
        <v>1</v>
      </c>
      <c r="P11" s="5" t="s">
        <v>29</v>
      </c>
      <c r="Q11" s="5">
        <v>771</v>
      </c>
      <c r="R11" s="5" t="s">
        <v>73</v>
      </c>
      <c r="S11" s="5" t="s">
        <v>74</v>
      </c>
      <c r="T11" s="5">
        <v>520002</v>
      </c>
      <c r="U11" s="5" t="s">
        <v>32</v>
      </c>
      <c r="V11" s="5" t="b">
        <v>0</v>
      </c>
    </row>
    <row r="12" spans="1:22">
      <c r="A12" s="5">
        <v>11</v>
      </c>
      <c r="B12" s="5" t="s">
        <v>71</v>
      </c>
      <c r="C12" s="5">
        <v>2648970</v>
      </c>
      <c r="D12" s="5" t="s">
        <v>23</v>
      </c>
      <c r="E12" s="5">
        <v>76</v>
      </c>
      <c r="F12" s="6" t="str" cm="1">
        <f t="array" ref="F12">_xlfn.IFS(E12&gt;=50,"Senior",E12&gt;=30,"Adult",E12&lt;30,"Teenager")</f>
        <v>Senior</v>
      </c>
      <c r="G12" s="7">
        <v>44899</v>
      </c>
      <c r="H12" s="8" t="str">
        <f t="shared" si="0"/>
        <v>Dec</v>
      </c>
      <c r="I12" s="5" t="s">
        <v>24</v>
      </c>
      <c r="J12" s="9">
        <f t="shared" si="1"/>
        <v>1</v>
      </c>
      <c r="K12" s="5" t="s">
        <v>46</v>
      </c>
      <c r="L12" s="5" t="s">
        <v>75</v>
      </c>
      <c r="M12" s="5" t="s">
        <v>27</v>
      </c>
      <c r="N12" s="5" t="s">
        <v>42</v>
      </c>
      <c r="O12" s="5">
        <v>1</v>
      </c>
      <c r="P12" s="5" t="s">
        <v>29</v>
      </c>
      <c r="Q12" s="5">
        <v>517</v>
      </c>
      <c r="R12" s="5" t="s">
        <v>76</v>
      </c>
      <c r="S12" s="5" t="s">
        <v>77</v>
      </c>
      <c r="T12" s="5">
        <v>695018</v>
      </c>
      <c r="U12" s="5" t="s">
        <v>32</v>
      </c>
      <c r="V12" s="5" t="b">
        <v>0</v>
      </c>
    </row>
    <row r="13" spans="1:22">
      <c r="A13" s="5">
        <v>12</v>
      </c>
      <c r="B13" s="5" t="s">
        <v>71</v>
      </c>
      <c r="C13" s="5">
        <v>2648970</v>
      </c>
      <c r="D13" s="5" t="s">
        <v>23</v>
      </c>
      <c r="E13" s="5">
        <v>45</v>
      </c>
      <c r="F13" s="6" t="str" cm="1">
        <f t="array" ref="F13">_xlfn.IFS(E13&gt;=50,"Senior",E13&gt;=30,"Adult",E13&lt;30,"Teenager")</f>
        <v>Adult</v>
      </c>
      <c r="G13" s="7">
        <v>44899</v>
      </c>
      <c r="H13" s="8" t="str">
        <f t="shared" si="0"/>
        <v>Dec</v>
      </c>
      <c r="I13" s="5" t="s">
        <v>24</v>
      </c>
      <c r="J13" s="9">
        <f t="shared" si="1"/>
        <v>1</v>
      </c>
      <c r="K13" s="5" t="s">
        <v>25</v>
      </c>
      <c r="L13" s="5" t="s">
        <v>78</v>
      </c>
      <c r="M13" s="5" t="s">
        <v>79</v>
      </c>
      <c r="N13" s="5" t="s">
        <v>48</v>
      </c>
      <c r="O13" s="5">
        <v>1</v>
      </c>
      <c r="P13" s="5" t="s">
        <v>29</v>
      </c>
      <c r="Q13" s="5">
        <v>399</v>
      </c>
      <c r="R13" s="5" t="s">
        <v>80</v>
      </c>
      <c r="S13" s="5" t="s">
        <v>50</v>
      </c>
      <c r="T13" s="5">
        <v>631003</v>
      </c>
      <c r="U13" s="5" t="s">
        <v>32</v>
      </c>
      <c r="V13" s="5" t="b">
        <v>0</v>
      </c>
    </row>
    <row r="14" spans="1:22">
      <c r="A14" s="5">
        <v>13</v>
      </c>
      <c r="B14" s="5" t="s">
        <v>81</v>
      </c>
      <c r="C14" s="5">
        <v>265357</v>
      </c>
      <c r="D14" s="5" t="s">
        <v>23</v>
      </c>
      <c r="E14" s="5">
        <v>18</v>
      </c>
      <c r="F14" s="6" t="str" cm="1">
        <f t="array" ref="F14">_xlfn.IFS(E14&gt;=50,"Senior",E14&gt;=30,"Adult",E14&lt;30,"Teenager")</f>
        <v>Teenager</v>
      </c>
      <c r="G14" s="7">
        <v>44899</v>
      </c>
      <c r="H14" s="8" t="str">
        <f t="shared" si="0"/>
        <v>Dec</v>
      </c>
      <c r="I14" s="5" t="s">
        <v>24</v>
      </c>
      <c r="J14" s="9">
        <f t="shared" si="1"/>
        <v>1</v>
      </c>
      <c r="K14" s="5" t="s">
        <v>46</v>
      </c>
      <c r="L14" s="5" t="s">
        <v>82</v>
      </c>
      <c r="M14" s="5" t="s">
        <v>36</v>
      </c>
      <c r="N14" s="5" t="s">
        <v>70</v>
      </c>
      <c r="O14" s="5">
        <v>1</v>
      </c>
      <c r="P14" s="5" t="s">
        <v>29</v>
      </c>
      <c r="Q14" s="5">
        <v>786</v>
      </c>
      <c r="R14" s="5" t="s">
        <v>83</v>
      </c>
      <c r="S14" s="5" t="s">
        <v>84</v>
      </c>
      <c r="T14" s="5">
        <v>781017</v>
      </c>
      <c r="U14" s="5" t="s">
        <v>32</v>
      </c>
      <c r="V14" s="5" t="b">
        <v>0</v>
      </c>
    </row>
    <row r="15" spans="1:22">
      <c r="A15" s="5">
        <v>14</v>
      </c>
      <c r="B15" s="5" t="s">
        <v>85</v>
      </c>
      <c r="C15" s="5">
        <v>9268874</v>
      </c>
      <c r="D15" s="5" t="s">
        <v>54</v>
      </c>
      <c r="E15" s="5">
        <v>44</v>
      </c>
      <c r="F15" s="6" t="str" cm="1">
        <f t="array" ref="F15">_xlfn.IFS(E15&gt;=50,"Senior",E15&gt;=30,"Adult",E15&lt;30,"Teenager")</f>
        <v>Adult</v>
      </c>
      <c r="G15" s="7">
        <v>44899</v>
      </c>
      <c r="H15" s="8" t="str">
        <f t="shared" si="0"/>
        <v>Dec</v>
      </c>
      <c r="I15" s="5" t="s">
        <v>24</v>
      </c>
      <c r="J15" s="9">
        <f t="shared" si="1"/>
        <v>1</v>
      </c>
      <c r="K15" s="5" t="s">
        <v>25</v>
      </c>
      <c r="L15" s="5" t="s">
        <v>86</v>
      </c>
      <c r="M15" s="5" t="s">
        <v>36</v>
      </c>
      <c r="N15" s="5" t="s">
        <v>48</v>
      </c>
      <c r="O15" s="5">
        <v>1</v>
      </c>
      <c r="P15" s="5" t="s">
        <v>29</v>
      </c>
      <c r="Q15" s="5">
        <v>911</v>
      </c>
      <c r="R15" s="5" t="s">
        <v>63</v>
      </c>
      <c r="S15" s="5" t="s">
        <v>64</v>
      </c>
      <c r="T15" s="5">
        <v>562125</v>
      </c>
      <c r="U15" s="5" t="s">
        <v>32</v>
      </c>
      <c r="V15" s="5" t="b">
        <v>0</v>
      </c>
    </row>
    <row r="16" spans="1:22">
      <c r="A16" s="5">
        <v>15</v>
      </c>
      <c r="B16" s="5" t="s">
        <v>87</v>
      </c>
      <c r="C16" s="5">
        <v>442660</v>
      </c>
      <c r="D16" s="5" t="s">
        <v>23</v>
      </c>
      <c r="E16" s="5">
        <v>52</v>
      </c>
      <c r="F16" s="6" t="str" cm="1">
        <f t="array" ref="F16">_xlfn.IFS(E16&gt;=50,"Senior",E16&gt;=30,"Adult",E16&lt;30,"Teenager")</f>
        <v>Senior</v>
      </c>
      <c r="G16" s="7">
        <v>44899</v>
      </c>
      <c r="H16" s="8" t="str">
        <f t="shared" si="0"/>
        <v>Dec</v>
      </c>
      <c r="I16" s="5" t="s">
        <v>24</v>
      </c>
      <c r="J16" s="9">
        <f t="shared" si="1"/>
        <v>1</v>
      </c>
      <c r="K16" s="5" t="s">
        <v>46</v>
      </c>
      <c r="L16" s="5" t="s">
        <v>88</v>
      </c>
      <c r="M16" s="5" t="s">
        <v>36</v>
      </c>
      <c r="N16" s="5" t="s">
        <v>48</v>
      </c>
      <c r="O16" s="5">
        <v>1</v>
      </c>
      <c r="P16" s="5" t="s">
        <v>29</v>
      </c>
      <c r="Q16" s="5">
        <v>967</v>
      </c>
      <c r="R16" s="5" t="s">
        <v>89</v>
      </c>
      <c r="S16" s="5" t="s">
        <v>90</v>
      </c>
      <c r="T16" s="5">
        <v>500098</v>
      </c>
      <c r="U16" s="5" t="s">
        <v>32</v>
      </c>
      <c r="V16" s="5" t="b">
        <v>0</v>
      </c>
    </row>
    <row r="17" spans="1:22">
      <c r="A17" s="5">
        <v>16</v>
      </c>
      <c r="B17" s="5" t="s">
        <v>91</v>
      </c>
      <c r="C17" s="5">
        <v>7482261</v>
      </c>
      <c r="D17" s="5" t="s">
        <v>23</v>
      </c>
      <c r="E17" s="5">
        <v>18</v>
      </c>
      <c r="F17" s="6" t="str" cm="1">
        <f t="array" ref="F17">_xlfn.IFS(E17&gt;=50,"Senior",E17&gt;=30,"Adult",E17&lt;30,"Teenager")</f>
        <v>Teenager</v>
      </c>
      <c r="G17" s="7">
        <v>44899</v>
      </c>
      <c r="H17" s="8" t="str">
        <f t="shared" si="0"/>
        <v>Dec</v>
      </c>
      <c r="I17" s="5" t="s">
        <v>24</v>
      </c>
      <c r="J17" s="9">
        <f t="shared" si="1"/>
        <v>1</v>
      </c>
      <c r="K17" s="5" t="s">
        <v>92</v>
      </c>
      <c r="L17" s="5" t="s">
        <v>93</v>
      </c>
      <c r="M17" s="5" t="s">
        <v>79</v>
      </c>
      <c r="N17" s="5" t="s">
        <v>37</v>
      </c>
      <c r="O17" s="5">
        <v>1</v>
      </c>
      <c r="P17" s="5" t="s">
        <v>29</v>
      </c>
      <c r="Q17" s="5">
        <v>523</v>
      </c>
      <c r="R17" s="5" t="s">
        <v>94</v>
      </c>
      <c r="S17" s="5" t="s">
        <v>95</v>
      </c>
      <c r="T17" s="5">
        <v>110062</v>
      </c>
      <c r="U17" s="5" t="s">
        <v>32</v>
      </c>
      <c r="V17" s="5" t="b">
        <v>0</v>
      </c>
    </row>
    <row r="18" spans="1:22">
      <c r="A18" s="5">
        <v>17</v>
      </c>
      <c r="B18" s="5" t="s">
        <v>96</v>
      </c>
      <c r="C18" s="5">
        <v>7039962</v>
      </c>
      <c r="D18" s="5" t="s">
        <v>54</v>
      </c>
      <c r="E18" s="5">
        <v>30</v>
      </c>
      <c r="F18" s="6" t="str" cm="1">
        <f t="array" ref="F18">_xlfn.IFS(E18&gt;=50,"Senior",E18&gt;=30,"Adult",E18&lt;30,"Teenager")</f>
        <v>Adult</v>
      </c>
      <c r="G18" s="7">
        <v>44899</v>
      </c>
      <c r="H18" s="8" t="str">
        <f t="shared" si="0"/>
        <v>Dec</v>
      </c>
      <c r="I18" s="5" t="s">
        <v>24</v>
      </c>
      <c r="J18" s="9">
        <f t="shared" si="1"/>
        <v>1</v>
      </c>
      <c r="K18" s="5" t="s">
        <v>61</v>
      </c>
      <c r="L18" s="5" t="s">
        <v>97</v>
      </c>
      <c r="M18" s="5" t="s">
        <v>36</v>
      </c>
      <c r="N18" s="5" t="s">
        <v>70</v>
      </c>
      <c r="O18" s="5">
        <v>1</v>
      </c>
      <c r="P18" s="5" t="s">
        <v>29</v>
      </c>
      <c r="Q18" s="5">
        <v>1115</v>
      </c>
      <c r="R18" s="5" t="s">
        <v>98</v>
      </c>
      <c r="S18" s="5" t="s">
        <v>99</v>
      </c>
      <c r="T18" s="5">
        <v>751022</v>
      </c>
      <c r="U18" s="5" t="s">
        <v>32</v>
      </c>
      <c r="V18" s="5" t="b">
        <v>0</v>
      </c>
    </row>
    <row r="19" spans="1:22">
      <c r="A19" s="5">
        <v>18</v>
      </c>
      <c r="B19" s="5" t="s">
        <v>100</v>
      </c>
      <c r="C19" s="5">
        <v>3422488</v>
      </c>
      <c r="D19" s="5" t="s">
        <v>23</v>
      </c>
      <c r="E19" s="5">
        <v>48</v>
      </c>
      <c r="F19" s="6" t="str" cm="1">
        <f t="array" ref="F19">_xlfn.IFS(E19&gt;=50,"Senior",E19&gt;=30,"Adult",E19&lt;30,"Teenager")</f>
        <v>Adult</v>
      </c>
      <c r="G19" s="7">
        <v>44899</v>
      </c>
      <c r="H19" s="8" t="str">
        <f t="shared" si="0"/>
        <v>Dec</v>
      </c>
      <c r="I19" s="5" t="s">
        <v>24</v>
      </c>
      <c r="J19" s="9">
        <f t="shared" si="1"/>
        <v>1</v>
      </c>
      <c r="K19" s="5" t="s">
        <v>66</v>
      </c>
      <c r="L19" s="5" t="s">
        <v>101</v>
      </c>
      <c r="M19" s="5" t="s">
        <v>36</v>
      </c>
      <c r="N19" s="5" t="s">
        <v>102</v>
      </c>
      <c r="O19" s="5">
        <v>1</v>
      </c>
      <c r="P19" s="5" t="s">
        <v>29</v>
      </c>
      <c r="Q19" s="5">
        <v>563</v>
      </c>
      <c r="R19" s="5" t="s">
        <v>103</v>
      </c>
      <c r="S19" s="5" t="s">
        <v>104</v>
      </c>
      <c r="T19" s="5">
        <v>307001</v>
      </c>
      <c r="U19" s="5" t="s">
        <v>32</v>
      </c>
      <c r="V19" s="5" t="b">
        <v>0</v>
      </c>
    </row>
    <row r="20" spans="1:22">
      <c r="A20" s="5">
        <v>19</v>
      </c>
      <c r="B20" s="5" t="s">
        <v>105</v>
      </c>
      <c r="C20" s="5">
        <v>8974687</v>
      </c>
      <c r="D20" s="5" t="s">
        <v>54</v>
      </c>
      <c r="E20" s="5">
        <v>24</v>
      </c>
      <c r="F20" s="6" t="str" cm="1">
        <f t="array" ref="F20">_xlfn.IFS(E20&gt;=50,"Senior",E20&gt;=30,"Adult",E20&lt;30,"Teenager")</f>
        <v>Teenager</v>
      </c>
      <c r="G20" s="7">
        <v>44899</v>
      </c>
      <c r="H20" s="8" t="str">
        <f t="shared" si="0"/>
        <v>Dec</v>
      </c>
      <c r="I20" s="5" t="s">
        <v>24</v>
      </c>
      <c r="J20" s="9">
        <f t="shared" si="1"/>
        <v>1</v>
      </c>
      <c r="K20" s="5" t="s">
        <v>25</v>
      </c>
      <c r="L20" s="5" t="s">
        <v>106</v>
      </c>
      <c r="M20" s="5" t="s">
        <v>57</v>
      </c>
      <c r="N20" s="5" t="s">
        <v>28</v>
      </c>
      <c r="O20" s="5">
        <v>1</v>
      </c>
      <c r="P20" s="5" t="s">
        <v>29</v>
      </c>
      <c r="Q20" s="5">
        <v>473</v>
      </c>
      <c r="R20" s="5" t="s">
        <v>107</v>
      </c>
      <c r="S20" s="5" t="s">
        <v>60</v>
      </c>
      <c r="T20" s="5">
        <v>400097</v>
      </c>
      <c r="U20" s="5" t="s">
        <v>32</v>
      </c>
      <c r="V20" s="5" t="b">
        <v>0</v>
      </c>
    </row>
    <row r="21" spans="1:22">
      <c r="A21" s="5">
        <v>20</v>
      </c>
      <c r="B21" s="5" t="s">
        <v>108</v>
      </c>
      <c r="C21" s="5">
        <v>244536</v>
      </c>
      <c r="D21" s="5" t="s">
        <v>23</v>
      </c>
      <c r="E21" s="5">
        <v>46</v>
      </c>
      <c r="F21" s="6" t="str" cm="1">
        <f t="array" ref="F21">_xlfn.IFS(E21&gt;=50,"Senior",E21&gt;=30,"Adult",E21&lt;30,"Teenager")</f>
        <v>Adult</v>
      </c>
      <c r="G21" s="7">
        <v>44899</v>
      </c>
      <c r="H21" s="8" t="str">
        <f t="shared" si="0"/>
        <v>Dec</v>
      </c>
      <c r="I21" s="5" t="s">
        <v>24</v>
      </c>
      <c r="J21" s="9">
        <f t="shared" si="1"/>
        <v>1</v>
      </c>
      <c r="K21" s="5" t="s">
        <v>46</v>
      </c>
      <c r="L21" s="5" t="s">
        <v>109</v>
      </c>
      <c r="M21" s="5" t="s">
        <v>36</v>
      </c>
      <c r="N21" s="5" t="s">
        <v>48</v>
      </c>
      <c r="O21" s="5">
        <v>1</v>
      </c>
      <c r="P21" s="5" t="s">
        <v>29</v>
      </c>
      <c r="Q21" s="5">
        <v>545</v>
      </c>
      <c r="R21" s="5" t="s">
        <v>110</v>
      </c>
      <c r="S21" s="5" t="s">
        <v>31</v>
      </c>
      <c r="T21" s="5">
        <v>143001</v>
      </c>
      <c r="U21" s="5" t="s">
        <v>32</v>
      </c>
      <c r="V21" s="5" t="b">
        <v>0</v>
      </c>
    </row>
    <row r="22" spans="1:22">
      <c r="A22" s="5">
        <v>21</v>
      </c>
      <c r="B22" s="5" t="s">
        <v>111</v>
      </c>
      <c r="C22" s="5">
        <v>4376789</v>
      </c>
      <c r="D22" s="5" t="s">
        <v>23</v>
      </c>
      <c r="E22" s="5">
        <v>43</v>
      </c>
      <c r="F22" s="6" t="str" cm="1">
        <f t="array" ref="F22">_xlfn.IFS(E22&gt;=50,"Senior",E22&gt;=30,"Adult",E22&lt;30,"Teenager")</f>
        <v>Adult</v>
      </c>
      <c r="G22" s="7">
        <v>44899</v>
      </c>
      <c r="H22" s="8" t="str">
        <f t="shared" si="0"/>
        <v>Dec</v>
      </c>
      <c r="I22" s="5" t="s">
        <v>24</v>
      </c>
      <c r="J22" s="9">
        <f t="shared" si="1"/>
        <v>1</v>
      </c>
      <c r="K22" s="5" t="s">
        <v>92</v>
      </c>
      <c r="L22" s="5" t="s">
        <v>112</v>
      </c>
      <c r="M22" s="5" t="s">
        <v>36</v>
      </c>
      <c r="N22" s="5" t="s">
        <v>113</v>
      </c>
      <c r="O22" s="5">
        <v>1</v>
      </c>
      <c r="P22" s="5" t="s">
        <v>29</v>
      </c>
      <c r="Q22" s="5">
        <v>1164</v>
      </c>
      <c r="R22" s="5" t="s">
        <v>114</v>
      </c>
      <c r="S22" s="5" t="s">
        <v>115</v>
      </c>
      <c r="T22" s="5">
        <v>226024</v>
      </c>
      <c r="U22" s="5" t="s">
        <v>32</v>
      </c>
      <c r="V22" s="5" t="b">
        <v>0</v>
      </c>
    </row>
    <row r="23" spans="1:22">
      <c r="A23" s="5">
        <v>22</v>
      </c>
      <c r="B23" s="5" t="s">
        <v>116</v>
      </c>
      <c r="C23" s="5">
        <v>1943310</v>
      </c>
      <c r="D23" s="5" t="s">
        <v>54</v>
      </c>
      <c r="E23" s="5">
        <v>31</v>
      </c>
      <c r="F23" s="6" t="str" cm="1">
        <f t="array" ref="F23">_xlfn.IFS(E23&gt;=50,"Senior",E23&gt;=30,"Adult",E23&lt;30,"Teenager")</f>
        <v>Adult</v>
      </c>
      <c r="G23" s="7">
        <v>44899</v>
      </c>
      <c r="H23" s="8" t="str">
        <f t="shared" si="0"/>
        <v>Dec</v>
      </c>
      <c r="I23" s="5" t="s">
        <v>117</v>
      </c>
      <c r="J23" s="9">
        <f t="shared" si="1"/>
        <v>0</v>
      </c>
      <c r="K23" s="5" t="s">
        <v>25</v>
      </c>
      <c r="L23" s="5" t="s">
        <v>118</v>
      </c>
      <c r="M23" s="5" t="s">
        <v>57</v>
      </c>
      <c r="N23" s="5" t="s">
        <v>28</v>
      </c>
      <c r="O23" s="5">
        <v>1</v>
      </c>
      <c r="P23" s="5" t="s">
        <v>29</v>
      </c>
      <c r="Q23" s="5">
        <v>743</v>
      </c>
      <c r="R23" s="5" t="s">
        <v>94</v>
      </c>
      <c r="S23" s="5" t="s">
        <v>95</v>
      </c>
      <c r="T23" s="5">
        <v>110087</v>
      </c>
      <c r="U23" s="5" t="s">
        <v>32</v>
      </c>
      <c r="V23" s="5" t="b">
        <v>0</v>
      </c>
    </row>
    <row r="24" spans="1:22">
      <c r="A24" s="5">
        <v>23</v>
      </c>
      <c r="B24" s="5" t="s">
        <v>119</v>
      </c>
      <c r="C24" s="5">
        <v>950590</v>
      </c>
      <c r="D24" s="5" t="s">
        <v>54</v>
      </c>
      <c r="E24" s="5">
        <v>30</v>
      </c>
      <c r="F24" s="6" t="str" cm="1">
        <f t="array" ref="F24">_xlfn.IFS(E24&gt;=50,"Senior",E24&gt;=30,"Adult",E24&lt;30,"Teenager")</f>
        <v>Adult</v>
      </c>
      <c r="G24" s="7">
        <v>44899</v>
      </c>
      <c r="H24" s="8" t="str">
        <f t="shared" si="0"/>
        <v>Dec</v>
      </c>
      <c r="I24" s="5" t="s">
        <v>24</v>
      </c>
      <c r="J24" s="9">
        <f t="shared" si="1"/>
        <v>1</v>
      </c>
      <c r="K24" s="5" t="s">
        <v>25</v>
      </c>
      <c r="L24" s="5" t="s">
        <v>120</v>
      </c>
      <c r="M24" s="5" t="s">
        <v>36</v>
      </c>
      <c r="N24" s="5" t="s">
        <v>113</v>
      </c>
      <c r="O24" s="5">
        <v>1</v>
      </c>
      <c r="P24" s="5" t="s">
        <v>29</v>
      </c>
      <c r="Q24" s="5">
        <v>575</v>
      </c>
      <c r="R24" s="5" t="s">
        <v>121</v>
      </c>
      <c r="S24" s="5" t="s">
        <v>50</v>
      </c>
      <c r="T24" s="5">
        <v>625014</v>
      </c>
      <c r="U24" s="5" t="s">
        <v>32</v>
      </c>
      <c r="V24" s="5" t="b">
        <v>0</v>
      </c>
    </row>
    <row r="25" spans="1:22">
      <c r="A25" s="5">
        <v>24</v>
      </c>
      <c r="B25" s="5" t="s">
        <v>122</v>
      </c>
      <c r="C25" s="5">
        <v>3935670</v>
      </c>
      <c r="D25" s="5" t="s">
        <v>23</v>
      </c>
      <c r="E25" s="5">
        <v>19</v>
      </c>
      <c r="F25" s="6" t="str" cm="1">
        <f t="array" ref="F25">_xlfn.IFS(E25&gt;=50,"Senior",E25&gt;=30,"Adult",E25&lt;30,"Teenager")</f>
        <v>Teenager</v>
      </c>
      <c r="G25" s="7">
        <v>44899</v>
      </c>
      <c r="H25" s="8" t="str">
        <f t="shared" si="0"/>
        <v>Dec</v>
      </c>
      <c r="I25" s="5" t="s">
        <v>24</v>
      </c>
      <c r="J25" s="9">
        <f t="shared" si="1"/>
        <v>1</v>
      </c>
      <c r="K25" s="5" t="s">
        <v>34</v>
      </c>
      <c r="L25" s="5" t="s">
        <v>123</v>
      </c>
      <c r="M25" s="5" t="s">
        <v>36</v>
      </c>
      <c r="N25" s="5" t="s">
        <v>102</v>
      </c>
      <c r="O25" s="5">
        <v>1</v>
      </c>
      <c r="P25" s="5" t="s">
        <v>29</v>
      </c>
      <c r="Q25" s="5">
        <v>788</v>
      </c>
      <c r="R25" s="5" t="s">
        <v>124</v>
      </c>
      <c r="S25" s="5" t="s">
        <v>115</v>
      </c>
      <c r="T25" s="5">
        <v>250002</v>
      </c>
      <c r="U25" s="5" t="s">
        <v>32</v>
      </c>
      <c r="V25" s="5" t="b">
        <v>0</v>
      </c>
    </row>
    <row r="26" spans="1:22">
      <c r="A26" s="5">
        <v>25</v>
      </c>
      <c r="B26" s="5" t="s">
        <v>125</v>
      </c>
      <c r="C26" s="5">
        <v>398999</v>
      </c>
      <c r="D26" s="5" t="s">
        <v>23</v>
      </c>
      <c r="E26" s="5">
        <v>37</v>
      </c>
      <c r="F26" s="6" t="str" cm="1">
        <f t="array" ref="F26">_xlfn.IFS(E26&gt;=50,"Senior",E26&gt;=30,"Adult",E26&lt;30,"Teenager")</f>
        <v>Adult</v>
      </c>
      <c r="G26" s="7">
        <v>44899</v>
      </c>
      <c r="H26" s="8" t="str">
        <f t="shared" si="0"/>
        <v>Dec</v>
      </c>
      <c r="I26" s="5" t="s">
        <v>24</v>
      </c>
      <c r="J26" s="9">
        <f t="shared" si="1"/>
        <v>1</v>
      </c>
      <c r="K26" s="5" t="s">
        <v>46</v>
      </c>
      <c r="L26" s="5" t="s">
        <v>126</v>
      </c>
      <c r="M26" s="5" t="s">
        <v>36</v>
      </c>
      <c r="N26" s="5" t="s">
        <v>48</v>
      </c>
      <c r="O26" s="5">
        <v>1</v>
      </c>
      <c r="P26" s="5" t="s">
        <v>29</v>
      </c>
      <c r="Q26" s="5">
        <v>612</v>
      </c>
      <c r="R26" s="5" t="s">
        <v>89</v>
      </c>
      <c r="S26" s="5" t="s">
        <v>90</v>
      </c>
      <c r="T26" s="5">
        <v>500060</v>
      </c>
      <c r="U26" s="5" t="s">
        <v>32</v>
      </c>
      <c r="V26" s="5" t="b">
        <v>0</v>
      </c>
    </row>
    <row r="27" spans="1:22">
      <c r="A27" s="5">
        <v>26</v>
      </c>
      <c r="B27" s="5" t="s">
        <v>127</v>
      </c>
      <c r="C27" s="5">
        <v>5438780</v>
      </c>
      <c r="D27" s="5" t="s">
        <v>23</v>
      </c>
      <c r="E27" s="5">
        <v>37</v>
      </c>
      <c r="F27" s="6" t="str" cm="1">
        <f t="array" ref="F27">_xlfn.IFS(E27&gt;=50,"Senior",E27&gt;=30,"Adult",E27&lt;30,"Teenager")</f>
        <v>Adult</v>
      </c>
      <c r="G27" s="7">
        <v>44899</v>
      </c>
      <c r="H27" s="8" t="str">
        <f t="shared" si="0"/>
        <v>Dec</v>
      </c>
      <c r="I27" s="5" t="s">
        <v>24</v>
      </c>
      <c r="J27" s="9">
        <f t="shared" si="1"/>
        <v>1</v>
      </c>
      <c r="K27" s="5" t="s">
        <v>66</v>
      </c>
      <c r="L27" s="5" t="s">
        <v>128</v>
      </c>
      <c r="M27" s="5" t="s">
        <v>27</v>
      </c>
      <c r="N27" s="5" t="s">
        <v>28</v>
      </c>
      <c r="O27" s="5">
        <v>1</v>
      </c>
      <c r="P27" s="5" t="s">
        <v>29</v>
      </c>
      <c r="Q27" s="5">
        <v>533</v>
      </c>
      <c r="R27" s="5" t="s">
        <v>129</v>
      </c>
      <c r="S27" s="5" t="s">
        <v>130</v>
      </c>
      <c r="T27" s="5">
        <v>452014</v>
      </c>
      <c r="U27" s="5" t="s">
        <v>32</v>
      </c>
      <c r="V27" s="5" t="b">
        <v>0</v>
      </c>
    </row>
    <row r="28" spans="1:22">
      <c r="A28" s="5">
        <v>27</v>
      </c>
      <c r="B28" s="5" t="s">
        <v>131</v>
      </c>
      <c r="C28" s="5">
        <v>8343960</v>
      </c>
      <c r="D28" s="5" t="s">
        <v>23</v>
      </c>
      <c r="E28" s="5">
        <v>62</v>
      </c>
      <c r="F28" s="6" t="str" cm="1">
        <f t="array" ref="F28">_xlfn.IFS(E28&gt;=50,"Senior",E28&gt;=30,"Adult",E28&lt;30,"Teenager")</f>
        <v>Senior</v>
      </c>
      <c r="G28" s="7">
        <v>44899</v>
      </c>
      <c r="H28" s="8" t="str">
        <f t="shared" si="0"/>
        <v>Dec</v>
      </c>
      <c r="I28" s="5" t="s">
        <v>24</v>
      </c>
      <c r="J28" s="9">
        <f t="shared" si="1"/>
        <v>1</v>
      </c>
      <c r="K28" s="5" t="s">
        <v>55</v>
      </c>
      <c r="L28" s="5" t="s">
        <v>132</v>
      </c>
      <c r="M28" s="5" t="s">
        <v>79</v>
      </c>
      <c r="N28" s="5" t="s">
        <v>70</v>
      </c>
      <c r="O28" s="5">
        <v>1</v>
      </c>
      <c r="P28" s="5" t="s">
        <v>29</v>
      </c>
      <c r="Q28" s="5">
        <v>484</v>
      </c>
      <c r="R28" s="5" t="s">
        <v>133</v>
      </c>
      <c r="S28" s="5" t="s">
        <v>64</v>
      </c>
      <c r="T28" s="5">
        <v>577004</v>
      </c>
      <c r="U28" s="5" t="s">
        <v>32</v>
      </c>
      <c r="V28" s="5" t="b">
        <v>0</v>
      </c>
    </row>
    <row r="29" spans="1:22">
      <c r="A29" s="5">
        <v>28</v>
      </c>
      <c r="B29" s="5" t="s">
        <v>134</v>
      </c>
      <c r="C29" s="5">
        <v>986513</v>
      </c>
      <c r="D29" s="5" t="s">
        <v>54</v>
      </c>
      <c r="E29" s="5">
        <v>20</v>
      </c>
      <c r="F29" s="6" t="str" cm="1">
        <f t="array" ref="F29">_xlfn.IFS(E29&gt;=50,"Senior",E29&gt;=30,"Adult",E29&lt;30,"Teenager")</f>
        <v>Teenager</v>
      </c>
      <c r="G29" s="7">
        <v>44899</v>
      </c>
      <c r="H29" s="8" t="str">
        <f t="shared" si="0"/>
        <v>Dec</v>
      </c>
      <c r="I29" s="5" t="s">
        <v>24</v>
      </c>
      <c r="J29" s="9">
        <f t="shared" si="1"/>
        <v>1</v>
      </c>
      <c r="K29" s="5" t="s">
        <v>55</v>
      </c>
      <c r="L29" s="5" t="s">
        <v>135</v>
      </c>
      <c r="M29" s="5" t="s">
        <v>36</v>
      </c>
      <c r="N29" s="5" t="s">
        <v>113</v>
      </c>
      <c r="O29" s="5">
        <v>1</v>
      </c>
      <c r="P29" s="5" t="s">
        <v>29</v>
      </c>
      <c r="Q29" s="5">
        <v>563</v>
      </c>
      <c r="R29" s="5" t="s">
        <v>136</v>
      </c>
      <c r="S29" s="5" t="s">
        <v>137</v>
      </c>
      <c r="T29" s="5">
        <v>263153</v>
      </c>
      <c r="U29" s="5" t="s">
        <v>32</v>
      </c>
      <c r="V29" s="5" t="b">
        <v>0</v>
      </c>
    </row>
    <row r="30" spans="1:22">
      <c r="A30" s="5">
        <v>29</v>
      </c>
      <c r="B30" s="5" t="s">
        <v>138</v>
      </c>
      <c r="C30" s="5">
        <v>947452</v>
      </c>
      <c r="D30" s="5" t="s">
        <v>54</v>
      </c>
      <c r="E30" s="5">
        <v>77</v>
      </c>
      <c r="F30" s="6" t="str" cm="1">
        <f t="array" ref="F30">_xlfn.IFS(E30&gt;=50,"Senior",E30&gt;=30,"Adult",E30&lt;30,"Teenager")</f>
        <v>Senior</v>
      </c>
      <c r="G30" s="7">
        <v>44899</v>
      </c>
      <c r="H30" s="8" t="str">
        <f t="shared" si="0"/>
        <v>Dec</v>
      </c>
      <c r="I30" s="5" t="s">
        <v>24</v>
      </c>
      <c r="J30" s="9">
        <f t="shared" si="1"/>
        <v>1</v>
      </c>
      <c r="K30" s="5" t="s">
        <v>55</v>
      </c>
      <c r="L30" s="5" t="s">
        <v>56</v>
      </c>
      <c r="M30" s="5" t="s">
        <v>57</v>
      </c>
      <c r="N30" s="5" t="s">
        <v>28</v>
      </c>
      <c r="O30" s="5">
        <v>1</v>
      </c>
      <c r="P30" s="5" t="s">
        <v>29</v>
      </c>
      <c r="Q30" s="5">
        <v>735</v>
      </c>
      <c r="R30" s="5" t="s">
        <v>139</v>
      </c>
      <c r="S30" s="5" t="s">
        <v>50</v>
      </c>
      <c r="T30" s="5">
        <v>600103</v>
      </c>
      <c r="U30" s="5" t="s">
        <v>32</v>
      </c>
      <c r="V30" s="5" t="b">
        <v>0</v>
      </c>
    </row>
    <row r="31" spans="1:22">
      <c r="A31" s="5">
        <v>30</v>
      </c>
      <c r="B31" s="5" t="s">
        <v>140</v>
      </c>
      <c r="C31" s="5">
        <v>1326018</v>
      </c>
      <c r="D31" s="5" t="s">
        <v>54</v>
      </c>
      <c r="E31" s="5">
        <v>26</v>
      </c>
      <c r="F31" s="6" t="str" cm="1">
        <f t="array" ref="F31">_xlfn.IFS(E31&gt;=50,"Senior",E31&gt;=30,"Adult",E31&lt;30,"Teenager")</f>
        <v>Teenager</v>
      </c>
      <c r="G31" s="7">
        <v>44899</v>
      </c>
      <c r="H31" s="8" t="str">
        <f t="shared" si="0"/>
        <v>Dec</v>
      </c>
      <c r="I31" s="5" t="s">
        <v>24</v>
      </c>
      <c r="J31" s="9">
        <f t="shared" si="1"/>
        <v>1</v>
      </c>
      <c r="K31" s="5" t="s">
        <v>46</v>
      </c>
      <c r="L31" s="5" t="s">
        <v>141</v>
      </c>
      <c r="M31" s="5" t="s">
        <v>36</v>
      </c>
      <c r="N31" s="5" t="s">
        <v>102</v>
      </c>
      <c r="O31" s="5">
        <v>1</v>
      </c>
      <c r="P31" s="5" t="s">
        <v>29</v>
      </c>
      <c r="Q31" s="5">
        <v>759</v>
      </c>
      <c r="R31" s="5" t="s">
        <v>142</v>
      </c>
      <c r="S31" s="5" t="s">
        <v>115</v>
      </c>
      <c r="T31" s="5">
        <v>230304</v>
      </c>
      <c r="U31" s="5" t="s">
        <v>32</v>
      </c>
      <c r="V31" s="5" t="b">
        <v>0</v>
      </c>
    </row>
    <row r="32" spans="1:22">
      <c r="A32" s="5">
        <v>31</v>
      </c>
      <c r="B32" s="5" t="s">
        <v>143</v>
      </c>
      <c r="C32" s="5">
        <v>9281717</v>
      </c>
      <c r="D32" s="5" t="s">
        <v>54</v>
      </c>
      <c r="E32" s="5">
        <v>40</v>
      </c>
      <c r="F32" s="6" t="str" cm="1">
        <f t="array" ref="F32">_xlfn.IFS(E32&gt;=50,"Senior",E32&gt;=30,"Adult",E32&lt;30,"Teenager")</f>
        <v>Adult</v>
      </c>
      <c r="G32" s="7">
        <v>44899</v>
      </c>
      <c r="H32" s="8" t="str">
        <f t="shared" si="0"/>
        <v>Dec</v>
      </c>
      <c r="I32" s="5" t="s">
        <v>24</v>
      </c>
      <c r="J32" s="9">
        <f t="shared" si="1"/>
        <v>1</v>
      </c>
      <c r="K32" s="5" t="s">
        <v>46</v>
      </c>
      <c r="L32" s="5" t="s">
        <v>56</v>
      </c>
      <c r="M32" s="5" t="s">
        <v>57</v>
      </c>
      <c r="N32" s="5" t="s">
        <v>28</v>
      </c>
      <c r="O32" s="5">
        <v>1</v>
      </c>
      <c r="P32" s="5" t="s">
        <v>29</v>
      </c>
      <c r="Q32" s="5">
        <v>715</v>
      </c>
      <c r="R32" s="5" t="s">
        <v>144</v>
      </c>
      <c r="S32" s="5" t="s">
        <v>145</v>
      </c>
      <c r="T32" s="5">
        <v>744302</v>
      </c>
      <c r="U32" s="5" t="s">
        <v>32</v>
      </c>
      <c r="V32" s="5" t="b">
        <v>0</v>
      </c>
    </row>
    <row r="33" spans="1:22">
      <c r="A33" s="5">
        <v>32</v>
      </c>
      <c r="B33" s="5" t="s">
        <v>146</v>
      </c>
      <c r="C33" s="5">
        <v>6866119</v>
      </c>
      <c r="D33" s="5" t="s">
        <v>54</v>
      </c>
      <c r="E33" s="5">
        <v>52</v>
      </c>
      <c r="F33" s="6" t="str" cm="1">
        <f t="array" ref="F33">_xlfn.IFS(E33&gt;=50,"Senior",E33&gt;=30,"Adult",E33&lt;30,"Teenager")</f>
        <v>Senior</v>
      </c>
      <c r="G33" s="7">
        <v>44899</v>
      </c>
      <c r="H33" s="8" t="str">
        <f t="shared" si="0"/>
        <v>Dec</v>
      </c>
      <c r="I33" s="5" t="s">
        <v>24</v>
      </c>
      <c r="J33" s="9">
        <f t="shared" si="1"/>
        <v>1</v>
      </c>
      <c r="K33" s="5" t="s">
        <v>46</v>
      </c>
      <c r="L33" s="5" t="s">
        <v>147</v>
      </c>
      <c r="M33" s="5" t="s">
        <v>57</v>
      </c>
      <c r="N33" s="5" t="s">
        <v>28</v>
      </c>
      <c r="O33" s="5">
        <v>1</v>
      </c>
      <c r="P33" s="5" t="s">
        <v>29</v>
      </c>
      <c r="Q33" s="5">
        <v>885</v>
      </c>
      <c r="R33" s="5" t="s">
        <v>148</v>
      </c>
      <c r="S33" s="5" t="s">
        <v>149</v>
      </c>
      <c r="T33" s="5">
        <v>380058</v>
      </c>
      <c r="U33" s="5" t="s">
        <v>32</v>
      </c>
      <c r="V33" s="5" t="b">
        <v>0</v>
      </c>
    </row>
    <row r="34" spans="1:22">
      <c r="A34" s="5">
        <v>33</v>
      </c>
      <c r="B34" s="5" t="s">
        <v>150</v>
      </c>
      <c r="C34" s="5">
        <v>9400852</v>
      </c>
      <c r="D34" s="5" t="s">
        <v>23</v>
      </c>
      <c r="E34" s="5">
        <v>38</v>
      </c>
      <c r="F34" s="6" t="str" cm="1">
        <f t="array" ref="F34">_xlfn.IFS(E34&gt;=50,"Senior",E34&gt;=30,"Adult",E34&lt;30,"Teenager")</f>
        <v>Adult</v>
      </c>
      <c r="G34" s="7">
        <v>44899</v>
      </c>
      <c r="H34" s="8" t="str">
        <f t="shared" si="0"/>
        <v>Dec</v>
      </c>
      <c r="I34" s="5" t="s">
        <v>24</v>
      </c>
      <c r="J34" s="9">
        <f t="shared" si="1"/>
        <v>1</v>
      </c>
      <c r="K34" s="5" t="s">
        <v>66</v>
      </c>
      <c r="L34" s="5" t="s">
        <v>151</v>
      </c>
      <c r="M34" s="5" t="s">
        <v>27</v>
      </c>
      <c r="N34" s="5" t="s">
        <v>48</v>
      </c>
      <c r="O34" s="5">
        <v>1</v>
      </c>
      <c r="P34" s="5" t="s">
        <v>29</v>
      </c>
      <c r="Q34" s="5">
        <v>301</v>
      </c>
      <c r="R34" s="5" t="s">
        <v>152</v>
      </c>
      <c r="S34" s="5" t="s">
        <v>50</v>
      </c>
      <c r="T34" s="5">
        <v>636007</v>
      </c>
      <c r="U34" s="5" t="s">
        <v>32</v>
      </c>
      <c r="V34" s="5" t="b">
        <v>0</v>
      </c>
    </row>
    <row r="35" spans="1:22">
      <c r="A35" s="5">
        <v>34</v>
      </c>
      <c r="B35" s="5" t="s">
        <v>153</v>
      </c>
      <c r="C35" s="5">
        <v>2606836</v>
      </c>
      <c r="D35" s="5" t="s">
        <v>54</v>
      </c>
      <c r="E35" s="5">
        <v>39</v>
      </c>
      <c r="F35" s="6" t="str" cm="1">
        <f t="array" ref="F35">_xlfn.IFS(E35&gt;=50,"Senior",E35&gt;=30,"Adult",E35&lt;30,"Teenager")</f>
        <v>Adult</v>
      </c>
      <c r="G35" s="7">
        <v>44899</v>
      </c>
      <c r="H35" s="8" t="str">
        <f t="shared" si="0"/>
        <v>Dec</v>
      </c>
      <c r="I35" s="5" t="s">
        <v>24</v>
      </c>
      <c r="J35" s="9">
        <f t="shared" si="1"/>
        <v>1</v>
      </c>
      <c r="K35" s="5" t="s">
        <v>25</v>
      </c>
      <c r="L35" s="5" t="s">
        <v>154</v>
      </c>
      <c r="M35" s="5" t="s">
        <v>36</v>
      </c>
      <c r="N35" s="5" t="s">
        <v>70</v>
      </c>
      <c r="O35" s="5">
        <v>1</v>
      </c>
      <c r="P35" s="5" t="s">
        <v>29</v>
      </c>
      <c r="Q35" s="5">
        <v>1238</v>
      </c>
      <c r="R35" s="5" t="s">
        <v>83</v>
      </c>
      <c r="S35" s="5" t="s">
        <v>84</v>
      </c>
      <c r="T35" s="5">
        <v>781020</v>
      </c>
      <c r="U35" s="5" t="s">
        <v>32</v>
      </c>
      <c r="V35" s="5" t="b">
        <v>0</v>
      </c>
    </row>
    <row r="36" spans="1:22">
      <c r="A36" s="5">
        <v>35</v>
      </c>
      <c r="B36" s="5" t="s">
        <v>155</v>
      </c>
      <c r="C36" s="5">
        <v>8481179</v>
      </c>
      <c r="D36" s="5" t="s">
        <v>54</v>
      </c>
      <c r="E36" s="5">
        <v>37</v>
      </c>
      <c r="F36" s="6" t="str" cm="1">
        <f t="array" ref="F36">_xlfn.IFS(E36&gt;=50,"Senior",E36&gt;=30,"Adult",E36&lt;30,"Teenager")</f>
        <v>Adult</v>
      </c>
      <c r="G36" s="7">
        <v>44899</v>
      </c>
      <c r="H36" s="8" t="str">
        <f t="shared" si="0"/>
        <v>Dec</v>
      </c>
      <c r="I36" s="5" t="s">
        <v>24</v>
      </c>
      <c r="J36" s="9">
        <f t="shared" si="1"/>
        <v>1</v>
      </c>
      <c r="K36" s="5" t="s">
        <v>46</v>
      </c>
      <c r="L36" s="5" t="s">
        <v>156</v>
      </c>
      <c r="M36" s="5" t="s">
        <v>36</v>
      </c>
      <c r="N36" s="5" t="s">
        <v>42</v>
      </c>
      <c r="O36" s="5">
        <v>1</v>
      </c>
      <c r="P36" s="5" t="s">
        <v>29</v>
      </c>
      <c r="Q36" s="5">
        <v>856</v>
      </c>
      <c r="R36" s="5" t="s">
        <v>139</v>
      </c>
      <c r="S36" s="5" t="s">
        <v>50</v>
      </c>
      <c r="T36" s="5">
        <v>600119</v>
      </c>
      <c r="U36" s="5" t="s">
        <v>32</v>
      </c>
      <c r="V36" s="5" t="b">
        <v>0</v>
      </c>
    </row>
    <row r="37" spans="1:22">
      <c r="A37" s="5">
        <v>36</v>
      </c>
      <c r="B37" s="5" t="s">
        <v>157</v>
      </c>
      <c r="C37" s="5">
        <v>9686095</v>
      </c>
      <c r="D37" s="5" t="s">
        <v>23</v>
      </c>
      <c r="E37" s="5">
        <v>73</v>
      </c>
      <c r="F37" s="6" t="str" cm="1">
        <f t="array" ref="F37">_xlfn.IFS(E37&gt;=50,"Senior",E37&gt;=30,"Adult",E37&lt;30,"Teenager")</f>
        <v>Senior</v>
      </c>
      <c r="G37" s="7">
        <v>44899</v>
      </c>
      <c r="H37" s="8" t="str">
        <f t="shared" si="0"/>
        <v>Dec</v>
      </c>
      <c r="I37" s="5" t="s">
        <v>24</v>
      </c>
      <c r="J37" s="9">
        <f t="shared" si="1"/>
        <v>1</v>
      </c>
      <c r="K37" s="5" t="s">
        <v>55</v>
      </c>
      <c r="L37" s="5" t="s">
        <v>158</v>
      </c>
      <c r="M37" s="5" t="s">
        <v>36</v>
      </c>
      <c r="N37" s="5" t="s">
        <v>37</v>
      </c>
      <c r="O37" s="5">
        <v>1</v>
      </c>
      <c r="P37" s="5" t="s">
        <v>29</v>
      </c>
      <c r="Q37" s="5">
        <v>650</v>
      </c>
      <c r="R37" s="5" t="s">
        <v>159</v>
      </c>
      <c r="S37" s="5" t="s">
        <v>149</v>
      </c>
      <c r="T37" s="5">
        <v>390021</v>
      </c>
      <c r="U37" s="5" t="s">
        <v>32</v>
      </c>
      <c r="V37" s="5" t="b">
        <v>0</v>
      </c>
    </row>
    <row r="38" spans="1:22">
      <c r="A38" s="5">
        <v>37</v>
      </c>
      <c r="B38" s="5" t="s">
        <v>160</v>
      </c>
      <c r="C38" s="5">
        <v>9033015</v>
      </c>
      <c r="D38" s="5" t="s">
        <v>23</v>
      </c>
      <c r="E38" s="5">
        <v>41</v>
      </c>
      <c r="F38" s="6" t="str" cm="1">
        <f t="array" ref="F38">_xlfn.IFS(E38&gt;=50,"Senior",E38&gt;=30,"Adult",E38&lt;30,"Teenager")</f>
        <v>Adult</v>
      </c>
      <c r="G38" s="7">
        <v>44899</v>
      </c>
      <c r="H38" s="8" t="str">
        <f t="shared" si="0"/>
        <v>Dec</v>
      </c>
      <c r="I38" s="5" t="s">
        <v>24</v>
      </c>
      <c r="J38" s="9">
        <f t="shared" si="1"/>
        <v>1</v>
      </c>
      <c r="K38" s="5" t="s">
        <v>46</v>
      </c>
      <c r="L38" s="5" t="s">
        <v>161</v>
      </c>
      <c r="M38" s="5" t="s">
        <v>27</v>
      </c>
      <c r="N38" s="5" t="s">
        <v>70</v>
      </c>
      <c r="O38" s="5">
        <v>1</v>
      </c>
      <c r="P38" s="5" t="s">
        <v>29</v>
      </c>
      <c r="Q38" s="5">
        <v>449</v>
      </c>
      <c r="R38" s="5" t="s">
        <v>162</v>
      </c>
      <c r="S38" s="5" t="s">
        <v>77</v>
      </c>
      <c r="T38" s="5">
        <v>670309</v>
      </c>
      <c r="U38" s="5" t="s">
        <v>32</v>
      </c>
      <c r="V38" s="5" t="b">
        <v>0</v>
      </c>
    </row>
    <row r="39" spans="1:22">
      <c r="A39" s="5">
        <v>38</v>
      </c>
      <c r="B39" s="5" t="s">
        <v>163</v>
      </c>
      <c r="C39" s="5">
        <v>6932218</v>
      </c>
      <c r="D39" s="5" t="s">
        <v>23</v>
      </c>
      <c r="E39" s="5">
        <v>41</v>
      </c>
      <c r="F39" s="6" t="str" cm="1">
        <f t="array" ref="F39">_xlfn.IFS(E39&gt;=50,"Senior",E39&gt;=30,"Adult",E39&lt;30,"Teenager")</f>
        <v>Adult</v>
      </c>
      <c r="G39" s="7">
        <v>44899</v>
      </c>
      <c r="H39" s="8" t="str">
        <f t="shared" si="0"/>
        <v>Dec</v>
      </c>
      <c r="I39" s="5" t="s">
        <v>24</v>
      </c>
      <c r="J39" s="9">
        <f t="shared" si="1"/>
        <v>1</v>
      </c>
      <c r="K39" s="5" t="s">
        <v>25</v>
      </c>
      <c r="L39" s="5" t="s">
        <v>164</v>
      </c>
      <c r="M39" s="5" t="s">
        <v>36</v>
      </c>
      <c r="N39" s="5" t="s">
        <v>102</v>
      </c>
      <c r="O39" s="5">
        <v>1</v>
      </c>
      <c r="P39" s="5" t="s">
        <v>29</v>
      </c>
      <c r="Q39" s="5">
        <v>967</v>
      </c>
      <c r="R39" s="5" t="s">
        <v>165</v>
      </c>
      <c r="S39" s="5" t="s">
        <v>165</v>
      </c>
      <c r="T39" s="5">
        <v>160036</v>
      </c>
      <c r="U39" s="5" t="s">
        <v>32</v>
      </c>
      <c r="V39" s="5" t="b">
        <v>0</v>
      </c>
    </row>
    <row r="40" spans="1:22">
      <c r="A40" s="5">
        <v>39</v>
      </c>
      <c r="B40" s="5" t="s">
        <v>166</v>
      </c>
      <c r="C40" s="5">
        <v>8796291</v>
      </c>
      <c r="D40" s="5" t="s">
        <v>23</v>
      </c>
      <c r="E40" s="5">
        <v>35</v>
      </c>
      <c r="F40" s="6" t="str" cm="1">
        <f t="array" ref="F40">_xlfn.IFS(E40&gt;=50,"Senior",E40&gt;=30,"Adult",E40&lt;30,"Teenager")</f>
        <v>Adult</v>
      </c>
      <c r="G40" s="7">
        <v>44899</v>
      </c>
      <c r="H40" s="8" t="str">
        <f t="shared" si="0"/>
        <v>Dec</v>
      </c>
      <c r="I40" s="5" t="s">
        <v>24</v>
      </c>
      <c r="J40" s="9">
        <f t="shared" si="1"/>
        <v>1</v>
      </c>
      <c r="K40" s="5" t="s">
        <v>46</v>
      </c>
      <c r="L40" s="5" t="s">
        <v>167</v>
      </c>
      <c r="M40" s="5" t="s">
        <v>27</v>
      </c>
      <c r="N40" s="5" t="s">
        <v>70</v>
      </c>
      <c r="O40" s="5">
        <v>1</v>
      </c>
      <c r="P40" s="5" t="s">
        <v>29</v>
      </c>
      <c r="Q40" s="5">
        <v>399</v>
      </c>
      <c r="R40" s="5" t="s">
        <v>38</v>
      </c>
      <c r="S40" s="5" t="s">
        <v>39</v>
      </c>
      <c r="T40" s="5">
        <v>122001</v>
      </c>
      <c r="U40" s="5" t="s">
        <v>32</v>
      </c>
      <c r="V40" s="5" t="b">
        <v>0</v>
      </c>
    </row>
    <row r="41" spans="1:22">
      <c r="A41" s="5">
        <v>40</v>
      </c>
      <c r="B41" s="5" t="s">
        <v>168</v>
      </c>
      <c r="C41" s="5">
        <v>9654105</v>
      </c>
      <c r="D41" s="5" t="s">
        <v>23</v>
      </c>
      <c r="E41" s="5">
        <v>72</v>
      </c>
      <c r="F41" s="6" t="str" cm="1">
        <f t="array" ref="F41">_xlfn.IFS(E41&gt;=50,"Senior",E41&gt;=30,"Adult",E41&lt;30,"Teenager")</f>
        <v>Senior</v>
      </c>
      <c r="G41" s="7">
        <v>44899</v>
      </c>
      <c r="H41" s="8" t="str">
        <f t="shared" si="0"/>
        <v>Dec</v>
      </c>
      <c r="I41" s="5" t="s">
        <v>24</v>
      </c>
      <c r="J41" s="9">
        <f t="shared" si="1"/>
        <v>1</v>
      </c>
      <c r="K41" s="5" t="s">
        <v>55</v>
      </c>
      <c r="L41" s="5" t="s">
        <v>169</v>
      </c>
      <c r="M41" s="5" t="s">
        <v>36</v>
      </c>
      <c r="N41" s="5" t="s">
        <v>48</v>
      </c>
      <c r="O41" s="5">
        <v>1</v>
      </c>
      <c r="P41" s="5" t="s">
        <v>29</v>
      </c>
      <c r="Q41" s="5">
        <v>969</v>
      </c>
      <c r="R41" s="5" t="s">
        <v>30</v>
      </c>
      <c r="S41" s="5" t="s">
        <v>31</v>
      </c>
      <c r="T41" s="5">
        <v>160062</v>
      </c>
      <c r="U41" s="5" t="s">
        <v>32</v>
      </c>
      <c r="V41" s="5" t="b">
        <v>0</v>
      </c>
    </row>
    <row r="42" spans="1:22">
      <c r="A42" s="5">
        <v>41</v>
      </c>
      <c r="B42" s="5" t="s">
        <v>170</v>
      </c>
      <c r="C42" s="5">
        <v>637532</v>
      </c>
      <c r="D42" s="5" t="s">
        <v>54</v>
      </c>
      <c r="E42" s="5">
        <v>39</v>
      </c>
      <c r="F42" s="6" t="str" cm="1">
        <f t="array" ref="F42">_xlfn.IFS(E42&gt;=50,"Senior",E42&gt;=30,"Adult",E42&lt;30,"Teenager")</f>
        <v>Adult</v>
      </c>
      <c r="G42" s="7">
        <v>44899</v>
      </c>
      <c r="H42" s="8" t="str">
        <f t="shared" si="0"/>
        <v>Dec</v>
      </c>
      <c r="I42" s="5" t="s">
        <v>24</v>
      </c>
      <c r="J42" s="9">
        <f t="shared" si="1"/>
        <v>1</v>
      </c>
      <c r="K42" s="5" t="s">
        <v>55</v>
      </c>
      <c r="L42" s="5" t="s">
        <v>171</v>
      </c>
      <c r="M42" s="5" t="s">
        <v>57</v>
      </c>
      <c r="N42" s="5" t="s">
        <v>37</v>
      </c>
      <c r="O42" s="5">
        <v>1</v>
      </c>
      <c r="P42" s="5" t="s">
        <v>29</v>
      </c>
      <c r="Q42" s="5">
        <v>599</v>
      </c>
      <c r="R42" s="5" t="s">
        <v>63</v>
      </c>
      <c r="S42" s="5" t="s">
        <v>64</v>
      </c>
      <c r="T42" s="5">
        <v>560061</v>
      </c>
      <c r="U42" s="5" t="s">
        <v>32</v>
      </c>
      <c r="V42" s="5" t="b">
        <v>0</v>
      </c>
    </row>
    <row r="43" spans="1:22">
      <c r="A43" s="5">
        <v>42</v>
      </c>
      <c r="B43" s="5" t="s">
        <v>170</v>
      </c>
      <c r="C43" s="5">
        <v>637532</v>
      </c>
      <c r="D43" s="5" t="s">
        <v>23</v>
      </c>
      <c r="E43" s="5">
        <v>39</v>
      </c>
      <c r="F43" s="6" t="str" cm="1">
        <f t="array" ref="F43">_xlfn.IFS(E43&gt;=50,"Senior",E43&gt;=30,"Adult",E43&lt;30,"Teenager")</f>
        <v>Adult</v>
      </c>
      <c r="G43" s="7">
        <v>44899</v>
      </c>
      <c r="H43" s="8" t="str">
        <f t="shared" si="0"/>
        <v>Dec</v>
      </c>
      <c r="I43" s="5" t="s">
        <v>24</v>
      </c>
      <c r="J43" s="9">
        <f t="shared" si="1"/>
        <v>1</v>
      </c>
      <c r="K43" s="5" t="s">
        <v>46</v>
      </c>
      <c r="L43" s="5" t="s">
        <v>172</v>
      </c>
      <c r="M43" s="5" t="s">
        <v>79</v>
      </c>
      <c r="N43" s="5" t="s">
        <v>42</v>
      </c>
      <c r="O43" s="5">
        <v>1</v>
      </c>
      <c r="P43" s="5" t="s">
        <v>29</v>
      </c>
      <c r="Q43" s="5">
        <v>545</v>
      </c>
      <c r="R43" s="5" t="s">
        <v>173</v>
      </c>
      <c r="S43" s="5" t="s">
        <v>60</v>
      </c>
      <c r="T43" s="5">
        <v>411051</v>
      </c>
      <c r="U43" s="5" t="s">
        <v>32</v>
      </c>
      <c r="V43" s="5" t="b">
        <v>0</v>
      </c>
    </row>
    <row r="44" spans="1:22">
      <c r="A44" s="5">
        <v>43</v>
      </c>
      <c r="B44" s="5" t="s">
        <v>174</v>
      </c>
      <c r="C44" s="5">
        <v>3393819</v>
      </c>
      <c r="D44" s="5" t="s">
        <v>23</v>
      </c>
      <c r="E44" s="5">
        <v>44</v>
      </c>
      <c r="F44" s="6" t="str" cm="1">
        <f t="array" ref="F44">_xlfn.IFS(E44&gt;=50,"Senior",E44&gt;=30,"Adult",E44&lt;30,"Teenager")</f>
        <v>Adult</v>
      </c>
      <c r="G44" s="7">
        <v>44899</v>
      </c>
      <c r="H44" s="8" t="str">
        <f t="shared" si="0"/>
        <v>Dec</v>
      </c>
      <c r="I44" s="5" t="s">
        <v>24</v>
      </c>
      <c r="J44" s="9">
        <f t="shared" si="1"/>
        <v>1</v>
      </c>
      <c r="K44" s="5" t="s">
        <v>25</v>
      </c>
      <c r="L44" s="5" t="s">
        <v>175</v>
      </c>
      <c r="M44" s="5" t="s">
        <v>36</v>
      </c>
      <c r="N44" s="5" t="s">
        <v>102</v>
      </c>
      <c r="O44" s="5">
        <v>1</v>
      </c>
      <c r="P44" s="5" t="s">
        <v>29</v>
      </c>
      <c r="Q44" s="5">
        <v>1115</v>
      </c>
      <c r="R44" s="5" t="s">
        <v>173</v>
      </c>
      <c r="S44" s="5" t="s">
        <v>60</v>
      </c>
      <c r="T44" s="5">
        <v>412207</v>
      </c>
      <c r="U44" s="5" t="s">
        <v>32</v>
      </c>
      <c r="V44" s="5" t="b">
        <v>0</v>
      </c>
    </row>
    <row r="45" spans="1:22">
      <c r="A45" s="5">
        <v>44</v>
      </c>
      <c r="B45" s="5" t="s">
        <v>176</v>
      </c>
      <c r="C45" s="5">
        <v>5673590</v>
      </c>
      <c r="D45" s="5" t="s">
        <v>23</v>
      </c>
      <c r="E45" s="5">
        <v>22</v>
      </c>
      <c r="F45" s="6" t="str" cm="1">
        <f t="array" ref="F45">_xlfn.IFS(E45&gt;=50,"Senior",E45&gt;=30,"Adult",E45&lt;30,"Teenager")</f>
        <v>Teenager</v>
      </c>
      <c r="G45" s="7">
        <v>44899</v>
      </c>
      <c r="H45" s="8" t="str">
        <f t="shared" si="0"/>
        <v>Dec</v>
      </c>
      <c r="I45" s="5" t="s">
        <v>24</v>
      </c>
      <c r="J45" s="9">
        <f t="shared" si="1"/>
        <v>1</v>
      </c>
      <c r="K45" s="5" t="s">
        <v>61</v>
      </c>
      <c r="L45" s="5" t="s">
        <v>177</v>
      </c>
      <c r="M45" s="5" t="s">
        <v>36</v>
      </c>
      <c r="N45" s="5" t="s">
        <v>70</v>
      </c>
      <c r="O45" s="5">
        <v>1</v>
      </c>
      <c r="P45" s="5" t="s">
        <v>29</v>
      </c>
      <c r="Q45" s="5">
        <v>648</v>
      </c>
      <c r="R45" s="5" t="s">
        <v>178</v>
      </c>
      <c r="S45" s="5" t="s">
        <v>39</v>
      </c>
      <c r="T45" s="5">
        <v>131001</v>
      </c>
      <c r="U45" s="5" t="s">
        <v>32</v>
      </c>
      <c r="V45" s="5" t="b">
        <v>0</v>
      </c>
    </row>
    <row r="46" spans="1:22">
      <c r="A46" s="5">
        <v>45</v>
      </c>
      <c r="B46" s="5" t="s">
        <v>179</v>
      </c>
      <c r="C46" s="5">
        <v>5846829</v>
      </c>
      <c r="D46" s="5" t="s">
        <v>23</v>
      </c>
      <c r="E46" s="5">
        <v>64</v>
      </c>
      <c r="F46" s="6" t="str" cm="1">
        <f t="array" ref="F46">_xlfn.IFS(E46&gt;=50,"Senior",E46&gt;=30,"Adult",E46&lt;30,"Teenager")</f>
        <v>Senior</v>
      </c>
      <c r="G46" s="7">
        <v>44899</v>
      </c>
      <c r="H46" s="8" t="str">
        <f t="shared" si="0"/>
        <v>Dec</v>
      </c>
      <c r="I46" s="5" t="s">
        <v>24</v>
      </c>
      <c r="J46" s="9">
        <f t="shared" si="1"/>
        <v>1</v>
      </c>
      <c r="K46" s="5" t="s">
        <v>55</v>
      </c>
      <c r="L46" s="5" t="s">
        <v>180</v>
      </c>
      <c r="M46" s="5" t="s">
        <v>36</v>
      </c>
      <c r="N46" s="5" t="s">
        <v>42</v>
      </c>
      <c r="O46" s="5">
        <v>1</v>
      </c>
      <c r="P46" s="5" t="s">
        <v>29</v>
      </c>
      <c r="Q46" s="5">
        <v>999</v>
      </c>
      <c r="R46" s="5" t="s">
        <v>181</v>
      </c>
      <c r="S46" s="5" t="s">
        <v>74</v>
      </c>
      <c r="T46" s="5">
        <v>524002</v>
      </c>
      <c r="U46" s="5" t="s">
        <v>32</v>
      </c>
      <c r="V46" s="5" t="b">
        <v>0</v>
      </c>
    </row>
    <row r="47" spans="1:22">
      <c r="A47" s="5">
        <v>46</v>
      </c>
      <c r="B47" s="5" t="s">
        <v>182</v>
      </c>
      <c r="C47" s="5">
        <v>4087298</v>
      </c>
      <c r="D47" s="5" t="s">
        <v>23</v>
      </c>
      <c r="E47" s="5">
        <v>30</v>
      </c>
      <c r="F47" s="6" t="str" cm="1">
        <f t="array" ref="F47">_xlfn.IFS(E47&gt;=50,"Senior",E47&gt;=30,"Adult",E47&lt;30,"Teenager")</f>
        <v>Adult</v>
      </c>
      <c r="G47" s="7">
        <v>44899</v>
      </c>
      <c r="H47" s="8" t="str">
        <f t="shared" si="0"/>
        <v>Dec</v>
      </c>
      <c r="I47" s="5" t="s">
        <v>24</v>
      </c>
      <c r="J47" s="9">
        <f t="shared" si="1"/>
        <v>1</v>
      </c>
      <c r="K47" s="5" t="s">
        <v>46</v>
      </c>
      <c r="L47" s="5" t="s">
        <v>183</v>
      </c>
      <c r="M47" s="5" t="s">
        <v>36</v>
      </c>
      <c r="N47" s="5" t="s">
        <v>28</v>
      </c>
      <c r="O47" s="5">
        <v>1</v>
      </c>
      <c r="P47" s="5" t="s">
        <v>29</v>
      </c>
      <c r="Q47" s="5">
        <v>563</v>
      </c>
      <c r="R47" s="5" t="s">
        <v>184</v>
      </c>
      <c r="S47" s="5" t="s">
        <v>50</v>
      </c>
      <c r="T47" s="5">
        <v>620101</v>
      </c>
      <c r="U47" s="5" t="s">
        <v>32</v>
      </c>
      <c r="V47" s="5" t="b">
        <v>0</v>
      </c>
    </row>
    <row r="48" spans="1:22">
      <c r="A48" s="5">
        <v>47</v>
      </c>
      <c r="B48" s="5" t="s">
        <v>185</v>
      </c>
      <c r="C48" s="5">
        <v>7694743</v>
      </c>
      <c r="D48" s="5" t="s">
        <v>23</v>
      </c>
      <c r="E48" s="5">
        <v>46</v>
      </c>
      <c r="F48" s="6" t="str" cm="1">
        <f t="array" ref="F48">_xlfn.IFS(E48&gt;=50,"Senior",E48&gt;=30,"Adult",E48&lt;30,"Teenager")</f>
        <v>Adult</v>
      </c>
      <c r="G48" s="7">
        <v>44899</v>
      </c>
      <c r="H48" s="8" t="str">
        <f t="shared" si="0"/>
        <v>Dec</v>
      </c>
      <c r="I48" s="5" t="s">
        <v>24</v>
      </c>
      <c r="J48" s="9">
        <f t="shared" si="1"/>
        <v>1</v>
      </c>
      <c r="K48" s="5" t="s">
        <v>25</v>
      </c>
      <c r="L48" s="5" t="s">
        <v>186</v>
      </c>
      <c r="M48" s="5" t="s">
        <v>36</v>
      </c>
      <c r="N48" s="5" t="s">
        <v>42</v>
      </c>
      <c r="O48" s="5">
        <v>1</v>
      </c>
      <c r="P48" s="5" t="s">
        <v>29</v>
      </c>
      <c r="Q48" s="5">
        <v>833</v>
      </c>
      <c r="R48" s="5" t="s">
        <v>63</v>
      </c>
      <c r="S48" s="5" t="s">
        <v>64</v>
      </c>
      <c r="T48" s="5">
        <v>562107</v>
      </c>
      <c r="U48" s="5" t="s">
        <v>32</v>
      </c>
      <c r="V48" s="5" t="b">
        <v>0</v>
      </c>
    </row>
    <row r="49" spans="1:22">
      <c r="A49" s="5">
        <v>48</v>
      </c>
      <c r="B49" s="5" t="s">
        <v>187</v>
      </c>
      <c r="C49" s="5">
        <v>8068610</v>
      </c>
      <c r="D49" s="5" t="s">
        <v>23</v>
      </c>
      <c r="E49" s="5">
        <v>48</v>
      </c>
      <c r="F49" s="6" t="str" cm="1">
        <f t="array" ref="F49">_xlfn.IFS(E49&gt;=50,"Senior",E49&gt;=30,"Adult",E49&lt;30,"Teenager")</f>
        <v>Adult</v>
      </c>
      <c r="G49" s="7">
        <v>44899</v>
      </c>
      <c r="H49" s="8" t="str">
        <f t="shared" si="0"/>
        <v>Dec</v>
      </c>
      <c r="I49" s="5" t="s">
        <v>24</v>
      </c>
      <c r="J49" s="9">
        <f t="shared" si="1"/>
        <v>1</v>
      </c>
      <c r="K49" s="5" t="s">
        <v>92</v>
      </c>
      <c r="L49" s="5" t="s">
        <v>188</v>
      </c>
      <c r="M49" s="5" t="s">
        <v>27</v>
      </c>
      <c r="N49" s="5" t="s">
        <v>42</v>
      </c>
      <c r="O49" s="5">
        <v>1</v>
      </c>
      <c r="P49" s="5" t="s">
        <v>29</v>
      </c>
      <c r="Q49" s="5">
        <v>487</v>
      </c>
      <c r="R49" s="5" t="s">
        <v>173</v>
      </c>
      <c r="S49" s="5" t="s">
        <v>60</v>
      </c>
      <c r="T49" s="5">
        <v>411014</v>
      </c>
      <c r="U49" s="5" t="s">
        <v>32</v>
      </c>
      <c r="V49" s="5" t="b">
        <v>0</v>
      </c>
    </row>
    <row r="50" spans="1:22">
      <c r="A50" s="5">
        <v>49</v>
      </c>
      <c r="B50" s="5" t="s">
        <v>189</v>
      </c>
      <c r="C50" s="5">
        <v>7917674</v>
      </c>
      <c r="D50" s="5" t="s">
        <v>23</v>
      </c>
      <c r="E50" s="5">
        <v>25</v>
      </c>
      <c r="F50" s="6" t="str" cm="1">
        <f t="array" ref="F50">_xlfn.IFS(E50&gt;=50,"Senior",E50&gt;=30,"Adult",E50&lt;30,"Teenager")</f>
        <v>Teenager</v>
      </c>
      <c r="G50" s="7">
        <v>44899</v>
      </c>
      <c r="H50" s="8" t="str">
        <f t="shared" si="0"/>
        <v>Dec</v>
      </c>
      <c r="I50" s="5" t="s">
        <v>24</v>
      </c>
      <c r="J50" s="9">
        <f t="shared" si="1"/>
        <v>1</v>
      </c>
      <c r="K50" s="5" t="s">
        <v>25</v>
      </c>
      <c r="L50" s="5" t="s">
        <v>190</v>
      </c>
      <c r="M50" s="5" t="s">
        <v>27</v>
      </c>
      <c r="N50" s="5" t="s">
        <v>48</v>
      </c>
      <c r="O50" s="5">
        <v>1</v>
      </c>
      <c r="P50" s="5" t="s">
        <v>29</v>
      </c>
      <c r="Q50" s="5">
        <v>292</v>
      </c>
      <c r="R50" s="5" t="s">
        <v>191</v>
      </c>
      <c r="S50" s="5" t="s">
        <v>115</v>
      </c>
      <c r="T50" s="5">
        <v>221010</v>
      </c>
      <c r="U50" s="5" t="s">
        <v>32</v>
      </c>
      <c r="V50" s="5" t="b">
        <v>0</v>
      </c>
    </row>
    <row r="51" spans="1:22">
      <c r="A51" s="5">
        <v>50</v>
      </c>
      <c r="B51" s="5" t="s">
        <v>192</v>
      </c>
      <c r="C51" s="5">
        <v>2709798</v>
      </c>
      <c r="D51" s="5" t="s">
        <v>54</v>
      </c>
      <c r="E51" s="5">
        <v>35</v>
      </c>
      <c r="F51" s="6" t="str" cm="1">
        <f t="array" ref="F51">_xlfn.IFS(E51&gt;=50,"Senior",E51&gt;=30,"Adult",E51&lt;30,"Teenager")</f>
        <v>Adult</v>
      </c>
      <c r="G51" s="7">
        <v>44899</v>
      </c>
      <c r="H51" s="8" t="str">
        <f t="shared" si="0"/>
        <v>Dec</v>
      </c>
      <c r="I51" s="5" t="s">
        <v>24</v>
      </c>
      <c r="J51" s="9">
        <f t="shared" si="1"/>
        <v>1</v>
      </c>
      <c r="K51" s="5" t="s">
        <v>66</v>
      </c>
      <c r="L51" s="5" t="s">
        <v>193</v>
      </c>
      <c r="M51" s="5" t="s">
        <v>36</v>
      </c>
      <c r="N51" s="5" t="s">
        <v>48</v>
      </c>
      <c r="O51" s="5">
        <v>1</v>
      </c>
      <c r="P51" s="5" t="s">
        <v>29</v>
      </c>
      <c r="Q51" s="5">
        <v>558</v>
      </c>
      <c r="R51" s="5" t="s">
        <v>194</v>
      </c>
      <c r="S51" s="5" t="s">
        <v>64</v>
      </c>
      <c r="T51" s="5">
        <v>574118</v>
      </c>
      <c r="U51" s="5" t="s">
        <v>32</v>
      </c>
      <c r="V51" s="5" t="b">
        <v>0</v>
      </c>
    </row>
    <row r="52" spans="1:22">
      <c r="A52" s="5">
        <v>51</v>
      </c>
      <c r="B52" s="5" t="s">
        <v>195</v>
      </c>
      <c r="C52" s="5">
        <v>4213846</v>
      </c>
      <c r="D52" s="5" t="s">
        <v>23</v>
      </c>
      <c r="E52" s="5">
        <v>27</v>
      </c>
      <c r="F52" s="6" t="str" cm="1">
        <f t="array" ref="F52">_xlfn.IFS(E52&gt;=50,"Senior",E52&gt;=30,"Adult",E52&lt;30,"Teenager")</f>
        <v>Teenager</v>
      </c>
      <c r="G52" s="7">
        <v>44899</v>
      </c>
      <c r="H52" s="8" t="str">
        <f t="shared" si="0"/>
        <v>Dec</v>
      </c>
      <c r="I52" s="5" t="s">
        <v>24</v>
      </c>
      <c r="J52" s="9">
        <f t="shared" si="1"/>
        <v>1</v>
      </c>
      <c r="K52" s="5" t="s">
        <v>46</v>
      </c>
      <c r="L52" s="5" t="s">
        <v>196</v>
      </c>
      <c r="M52" s="5" t="s">
        <v>36</v>
      </c>
      <c r="N52" s="5" t="s">
        <v>48</v>
      </c>
      <c r="O52" s="5">
        <v>1</v>
      </c>
      <c r="P52" s="5" t="s">
        <v>29</v>
      </c>
      <c r="Q52" s="5">
        <v>664</v>
      </c>
      <c r="R52" s="5" t="s">
        <v>89</v>
      </c>
      <c r="S52" s="5" t="s">
        <v>90</v>
      </c>
      <c r="T52" s="5">
        <v>500039</v>
      </c>
      <c r="U52" s="5" t="s">
        <v>32</v>
      </c>
      <c r="V52" s="5" t="b">
        <v>0</v>
      </c>
    </row>
    <row r="53" spans="1:22">
      <c r="A53" s="5">
        <v>52</v>
      </c>
      <c r="B53" s="5" t="s">
        <v>197</v>
      </c>
      <c r="C53" s="5">
        <v>7381557</v>
      </c>
      <c r="D53" s="5" t="s">
        <v>23</v>
      </c>
      <c r="E53" s="5">
        <v>21</v>
      </c>
      <c r="F53" s="6" t="str" cm="1">
        <f t="array" ref="F53">_xlfn.IFS(E53&gt;=50,"Senior",E53&gt;=30,"Adult",E53&lt;30,"Teenager")</f>
        <v>Teenager</v>
      </c>
      <c r="G53" s="7">
        <v>44899</v>
      </c>
      <c r="H53" s="8" t="str">
        <f t="shared" si="0"/>
        <v>Dec</v>
      </c>
      <c r="I53" s="5" t="s">
        <v>24</v>
      </c>
      <c r="J53" s="9">
        <f t="shared" si="1"/>
        <v>1</v>
      </c>
      <c r="K53" s="5" t="s">
        <v>66</v>
      </c>
      <c r="L53" s="5" t="s">
        <v>169</v>
      </c>
      <c r="M53" s="5" t="s">
        <v>36</v>
      </c>
      <c r="N53" s="5" t="s">
        <v>48</v>
      </c>
      <c r="O53" s="5">
        <v>1</v>
      </c>
      <c r="P53" s="5" t="s">
        <v>29</v>
      </c>
      <c r="Q53" s="5">
        <v>1112</v>
      </c>
      <c r="R53" s="5" t="s">
        <v>198</v>
      </c>
      <c r="S53" s="5" t="s">
        <v>115</v>
      </c>
      <c r="T53" s="5">
        <v>211001</v>
      </c>
      <c r="U53" s="5" t="s">
        <v>32</v>
      </c>
      <c r="V53" s="5" t="b">
        <v>0</v>
      </c>
    </row>
    <row r="54" spans="1:22">
      <c r="A54" s="5">
        <v>53</v>
      </c>
      <c r="B54" s="5" t="s">
        <v>199</v>
      </c>
      <c r="C54" s="5">
        <v>817885</v>
      </c>
      <c r="D54" s="5" t="s">
        <v>23</v>
      </c>
      <c r="E54" s="5">
        <v>43</v>
      </c>
      <c r="F54" s="6" t="str" cm="1">
        <f t="array" ref="F54">_xlfn.IFS(E54&gt;=50,"Senior",E54&gt;=30,"Adult",E54&lt;30,"Teenager")</f>
        <v>Adult</v>
      </c>
      <c r="G54" s="7">
        <v>44899</v>
      </c>
      <c r="H54" s="8" t="str">
        <f t="shared" si="0"/>
        <v>Dec</v>
      </c>
      <c r="I54" s="5" t="s">
        <v>24</v>
      </c>
      <c r="J54" s="9">
        <f t="shared" si="1"/>
        <v>1</v>
      </c>
      <c r="K54" s="5" t="s">
        <v>66</v>
      </c>
      <c r="L54" s="5" t="s">
        <v>200</v>
      </c>
      <c r="M54" s="5" t="s">
        <v>79</v>
      </c>
      <c r="N54" s="5" t="s">
        <v>42</v>
      </c>
      <c r="O54" s="5">
        <v>1</v>
      </c>
      <c r="P54" s="5" t="s">
        <v>29</v>
      </c>
      <c r="Q54" s="5">
        <v>540</v>
      </c>
      <c r="R54" s="5" t="s">
        <v>201</v>
      </c>
      <c r="S54" s="5" t="s">
        <v>95</v>
      </c>
      <c r="T54" s="5">
        <v>110017</v>
      </c>
      <c r="U54" s="5" t="s">
        <v>32</v>
      </c>
      <c r="V54" s="5" t="b">
        <v>0</v>
      </c>
    </row>
    <row r="55" spans="1:22">
      <c r="A55" s="5">
        <v>54</v>
      </c>
      <c r="B55" s="5" t="s">
        <v>202</v>
      </c>
      <c r="C55" s="5">
        <v>2439278</v>
      </c>
      <c r="D55" s="5" t="s">
        <v>54</v>
      </c>
      <c r="E55" s="5">
        <v>39</v>
      </c>
      <c r="F55" s="6" t="str" cm="1">
        <f t="array" ref="F55">_xlfn.IFS(E55&gt;=50,"Senior",E55&gt;=30,"Adult",E55&lt;30,"Teenager")</f>
        <v>Adult</v>
      </c>
      <c r="G55" s="7">
        <v>44899</v>
      </c>
      <c r="H55" s="8" t="str">
        <f t="shared" si="0"/>
        <v>Dec</v>
      </c>
      <c r="I55" s="5" t="s">
        <v>24</v>
      </c>
      <c r="J55" s="9">
        <f t="shared" si="1"/>
        <v>1</v>
      </c>
      <c r="K55" s="5" t="s">
        <v>25</v>
      </c>
      <c r="L55" s="5" t="s">
        <v>203</v>
      </c>
      <c r="M55" s="5" t="s">
        <v>36</v>
      </c>
      <c r="N55" s="5" t="s">
        <v>102</v>
      </c>
      <c r="O55" s="5">
        <v>1</v>
      </c>
      <c r="P55" s="5" t="s">
        <v>29</v>
      </c>
      <c r="Q55" s="5">
        <v>698</v>
      </c>
      <c r="R55" s="5" t="s">
        <v>204</v>
      </c>
      <c r="S55" s="5" t="s">
        <v>115</v>
      </c>
      <c r="T55" s="5">
        <v>272175</v>
      </c>
      <c r="U55" s="5" t="s">
        <v>32</v>
      </c>
      <c r="V55" s="5" t="b">
        <v>0</v>
      </c>
    </row>
    <row r="56" spans="1:22">
      <c r="A56" s="5">
        <v>55</v>
      </c>
      <c r="B56" s="5" t="s">
        <v>205</v>
      </c>
      <c r="C56" s="5">
        <v>8874360</v>
      </c>
      <c r="D56" s="5" t="s">
        <v>54</v>
      </c>
      <c r="E56" s="5">
        <v>23</v>
      </c>
      <c r="F56" s="6" t="str" cm="1">
        <f t="array" ref="F56">_xlfn.IFS(E56&gt;=50,"Senior",E56&gt;=30,"Adult",E56&lt;30,"Teenager")</f>
        <v>Teenager</v>
      </c>
      <c r="G56" s="7">
        <v>44899</v>
      </c>
      <c r="H56" s="8" t="str">
        <f t="shared" si="0"/>
        <v>Dec</v>
      </c>
      <c r="I56" s="5" t="s">
        <v>24</v>
      </c>
      <c r="J56" s="9">
        <f t="shared" si="1"/>
        <v>1</v>
      </c>
      <c r="K56" s="5" t="s">
        <v>66</v>
      </c>
      <c r="L56" s="5" t="s">
        <v>206</v>
      </c>
      <c r="M56" s="5" t="s">
        <v>36</v>
      </c>
      <c r="N56" s="5" t="s">
        <v>28</v>
      </c>
      <c r="O56" s="5">
        <v>1</v>
      </c>
      <c r="P56" s="5" t="s">
        <v>29</v>
      </c>
      <c r="Q56" s="5">
        <v>1115</v>
      </c>
      <c r="R56" s="5" t="s">
        <v>94</v>
      </c>
      <c r="S56" s="5" t="s">
        <v>95</v>
      </c>
      <c r="T56" s="5">
        <v>110016</v>
      </c>
      <c r="U56" s="5" t="s">
        <v>32</v>
      </c>
      <c r="V56" s="5" t="b">
        <v>0</v>
      </c>
    </row>
    <row r="57" spans="1:22">
      <c r="A57" s="5">
        <v>56</v>
      </c>
      <c r="B57" s="5" t="s">
        <v>207</v>
      </c>
      <c r="C57" s="5">
        <v>4675134</v>
      </c>
      <c r="D57" s="5" t="s">
        <v>23</v>
      </c>
      <c r="E57" s="5">
        <v>58</v>
      </c>
      <c r="F57" s="6" t="str" cm="1">
        <f t="array" ref="F57">_xlfn.IFS(E57&gt;=50,"Senior",E57&gt;=30,"Adult",E57&lt;30,"Teenager")</f>
        <v>Senior</v>
      </c>
      <c r="G57" s="7">
        <v>44899</v>
      </c>
      <c r="H57" s="8" t="str">
        <f t="shared" si="0"/>
        <v>Dec</v>
      </c>
      <c r="I57" s="5" t="s">
        <v>24</v>
      </c>
      <c r="J57" s="9">
        <f t="shared" si="1"/>
        <v>1</v>
      </c>
      <c r="K57" s="5" t="s">
        <v>61</v>
      </c>
      <c r="L57" s="5" t="s">
        <v>208</v>
      </c>
      <c r="M57" s="5" t="s">
        <v>36</v>
      </c>
      <c r="N57" s="5" t="s">
        <v>28</v>
      </c>
      <c r="O57" s="5">
        <v>1</v>
      </c>
      <c r="P57" s="5" t="s">
        <v>29</v>
      </c>
      <c r="Q57" s="5">
        <v>507</v>
      </c>
      <c r="R57" s="5" t="s">
        <v>89</v>
      </c>
      <c r="S57" s="5" t="s">
        <v>90</v>
      </c>
      <c r="T57" s="5">
        <v>500008</v>
      </c>
      <c r="U57" s="5" t="s">
        <v>32</v>
      </c>
      <c r="V57" s="5" t="b">
        <v>0</v>
      </c>
    </row>
    <row r="58" spans="1:22">
      <c r="A58" s="5">
        <v>57</v>
      </c>
      <c r="B58" s="5" t="s">
        <v>209</v>
      </c>
      <c r="C58" s="5">
        <v>9907523</v>
      </c>
      <c r="D58" s="5" t="s">
        <v>54</v>
      </c>
      <c r="E58" s="5">
        <v>27</v>
      </c>
      <c r="F58" s="6" t="str" cm="1">
        <f t="array" ref="F58">_xlfn.IFS(E58&gt;=50,"Senior",E58&gt;=30,"Adult",E58&lt;30,"Teenager")</f>
        <v>Teenager</v>
      </c>
      <c r="G58" s="7">
        <v>44899</v>
      </c>
      <c r="H58" s="8" t="str">
        <f t="shared" si="0"/>
        <v>Dec</v>
      </c>
      <c r="I58" s="5" t="s">
        <v>24</v>
      </c>
      <c r="J58" s="9">
        <f t="shared" si="1"/>
        <v>1</v>
      </c>
      <c r="K58" s="5" t="s">
        <v>46</v>
      </c>
      <c r="L58" s="5" t="s">
        <v>210</v>
      </c>
      <c r="M58" s="5" t="s">
        <v>36</v>
      </c>
      <c r="N58" s="5" t="s">
        <v>102</v>
      </c>
      <c r="O58" s="5">
        <v>1</v>
      </c>
      <c r="P58" s="5" t="s">
        <v>29</v>
      </c>
      <c r="Q58" s="5">
        <v>916</v>
      </c>
      <c r="R58" s="5" t="s">
        <v>211</v>
      </c>
      <c r="S58" s="5" t="s">
        <v>115</v>
      </c>
      <c r="T58" s="5">
        <v>228001</v>
      </c>
      <c r="U58" s="5" t="s">
        <v>32</v>
      </c>
      <c r="V58" s="5" t="b">
        <v>0</v>
      </c>
    </row>
    <row r="59" spans="1:22">
      <c r="A59" s="5">
        <v>58</v>
      </c>
      <c r="B59" s="5" t="s">
        <v>209</v>
      </c>
      <c r="C59" s="5">
        <v>9907523</v>
      </c>
      <c r="D59" s="5" t="s">
        <v>23</v>
      </c>
      <c r="E59" s="5">
        <v>38</v>
      </c>
      <c r="F59" s="6" t="str" cm="1">
        <f t="array" ref="F59">_xlfn.IFS(E59&gt;=50,"Senior",E59&gt;=30,"Adult",E59&lt;30,"Teenager")</f>
        <v>Adult</v>
      </c>
      <c r="G59" s="7">
        <v>44899</v>
      </c>
      <c r="H59" s="8" t="str">
        <f t="shared" si="0"/>
        <v>Dec</v>
      </c>
      <c r="I59" s="5" t="s">
        <v>24</v>
      </c>
      <c r="J59" s="9">
        <f t="shared" si="1"/>
        <v>1</v>
      </c>
      <c r="K59" s="5" t="s">
        <v>46</v>
      </c>
      <c r="L59" s="5" t="s">
        <v>212</v>
      </c>
      <c r="M59" s="5" t="s">
        <v>213</v>
      </c>
      <c r="N59" s="5" t="s">
        <v>214</v>
      </c>
      <c r="O59" s="5">
        <v>1</v>
      </c>
      <c r="P59" s="5" t="s">
        <v>29</v>
      </c>
      <c r="Q59" s="5">
        <v>737</v>
      </c>
      <c r="R59" s="5" t="s">
        <v>215</v>
      </c>
      <c r="S59" s="5" t="s">
        <v>130</v>
      </c>
      <c r="T59" s="5">
        <v>483501</v>
      </c>
      <c r="U59" s="5" t="s">
        <v>32</v>
      </c>
      <c r="V59" s="5" t="b">
        <v>0</v>
      </c>
    </row>
    <row r="60" spans="1:22">
      <c r="A60" s="5">
        <v>59</v>
      </c>
      <c r="B60" s="5" t="s">
        <v>216</v>
      </c>
      <c r="C60" s="5">
        <v>7643005</v>
      </c>
      <c r="D60" s="5" t="s">
        <v>54</v>
      </c>
      <c r="E60" s="5">
        <v>75</v>
      </c>
      <c r="F60" s="6" t="str" cm="1">
        <f t="array" ref="F60">_xlfn.IFS(E60&gt;=50,"Senior",E60&gt;=30,"Adult",E60&lt;30,"Teenager")</f>
        <v>Senior</v>
      </c>
      <c r="G60" s="7">
        <v>44899</v>
      </c>
      <c r="H60" s="8" t="str">
        <f t="shared" si="0"/>
        <v>Dec</v>
      </c>
      <c r="I60" s="5" t="s">
        <v>24</v>
      </c>
      <c r="J60" s="9">
        <f t="shared" si="1"/>
        <v>1</v>
      </c>
      <c r="K60" s="5" t="s">
        <v>55</v>
      </c>
      <c r="L60" s="5" t="s">
        <v>217</v>
      </c>
      <c r="M60" s="5" t="s">
        <v>36</v>
      </c>
      <c r="N60" s="5" t="s">
        <v>113</v>
      </c>
      <c r="O60" s="5">
        <v>1</v>
      </c>
      <c r="P60" s="5" t="s">
        <v>29</v>
      </c>
      <c r="Q60" s="5">
        <v>988</v>
      </c>
      <c r="R60" s="5" t="s">
        <v>107</v>
      </c>
      <c r="S60" s="5" t="s">
        <v>60</v>
      </c>
      <c r="T60" s="5">
        <v>400063</v>
      </c>
      <c r="U60" s="5" t="s">
        <v>32</v>
      </c>
      <c r="V60" s="5" t="b">
        <v>0</v>
      </c>
    </row>
    <row r="61" spans="1:22">
      <c r="A61" s="5">
        <v>60</v>
      </c>
      <c r="B61" s="5" t="s">
        <v>218</v>
      </c>
      <c r="C61" s="5">
        <v>381223</v>
      </c>
      <c r="D61" s="5" t="s">
        <v>54</v>
      </c>
      <c r="E61" s="5">
        <v>47</v>
      </c>
      <c r="F61" s="6" t="str" cm="1">
        <f t="array" ref="F61">_xlfn.IFS(E61&gt;=50,"Senior",E61&gt;=30,"Adult",E61&lt;30,"Teenager")</f>
        <v>Adult</v>
      </c>
      <c r="G61" s="7">
        <v>44899</v>
      </c>
      <c r="H61" s="8" t="str">
        <f t="shared" si="0"/>
        <v>Dec</v>
      </c>
      <c r="I61" s="5" t="s">
        <v>24</v>
      </c>
      <c r="J61" s="9">
        <f t="shared" si="1"/>
        <v>1</v>
      </c>
      <c r="K61" s="5" t="s">
        <v>61</v>
      </c>
      <c r="L61" s="5" t="s">
        <v>219</v>
      </c>
      <c r="M61" s="5" t="s">
        <v>36</v>
      </c>
      <c r="N61" s="5" t="s">
        <v>70</v>
      </c>
      <c r="O61" s="5">
        <v>1</v>
      </c>
      <c r="P61" s="5" t="s">
        <v>29</v>
      </c>
      <c r="Q61" s="5">
        <v>633</v>
      </c>
      <c r="R61" s="5" t="s">
        <v>139</v>
      </c>
      <c r="S61" s="5" t="s">
        <v>50</v>
      </c>
      <c r="T61" s="5">
        <v>600066</v>
      </c>
      <c r="U61" s="5" t="s">
        <v>32</v>
      </c>
      <c r="V61" s="5" t="b">
        <v>0</v>
      </c>
    </row>
    <row r="62" spans="1:22">
      <c r="A62" s="5">
        <v>61</v>
      </c>
      <c r="B62" s="5" t="s">
        <v>220</v>
      </c>
      <c r="C62" s="5">
        <v>8538186</v>
      </c>
      <c r="D62" s="5" t="s">
        <v>23</v>
      </c>
      <c r="E62" s="5">
        <v>62</v>
      </c>
      <c r="F62" s="6" t="str" cm="1">
        <f t="array" ref="F62">_xlfn.IFS(E62&gt;=50,"Senior",E62&gt;=30,"Adult",E62&lt;30,"Teenager")</f>
        <v>Senior</v>
      </c>
      <c r="G62" s="7">
        <v>44899</v>
      </c>
      <c r="H62" s="8" t="str">
        <f t="shared" si="0"/>
        <v>Dec</v>
      </c>
      <c r="I62" s="5" t="s">
        <v>24</v>
      </c>
      <c r="J62" s="9">
        <f t="shared" si="1"/>
        <v>1</v>
      </c>
      <c r="K62" s="5" t="s">
        <v>46</v>
      </c>
      <c r="L62" s="5" t="s">
        <v>221</v>
      </c>
      <c r="M62" s="5" t="s">
        <v>36</v>
      </c>
      <c r="N62" s="5" t="s">
        <v>48</v>
      </c>
      <c r="O62" s="5">
        <v>1</v>
      </c>
      <c r="P62" s="5" t="s">
        <v>29</v>
      </c>
      <c r="Q62" s="5">
        <v>899</v>
      </c>
      <c r="R62" s="5" t="s">
        <v>222</v>
      </c>
      <c r="S62" s="5" t="s">
        <v>39</v>
      </c>
      <c r="T62" s="5">
        <v>123029</v>
      </c>
      <c r="U62" s="5" t="s">
        <v>32</v>
      </c>
      <c r="V62" s="5" t="b">
        <v>0</v>
      </c>
    </row>
    <row r="63" spans="1:22">
      <c r="A63" s="5">
        <v>62</v>
      </c>
      <c r="B63" s="5" t="s">
        <v>223</v>
      </c>
      <c r="C63" s="5">
        <v>1785530</v>
      </c>
      <c r="D63" s="5" t="s">
        <v>23</v>
      </c>
      <c r="E63" s="5">
        <v>42</v>
      </c>
      <c r="F63" s="6" t="str" cm="1">
        <f t="array" ref="F63">_xlfn.IFS(E63&gt;=50,"Senior",E63&gt;=30,"Adult",E63&lt;30,"Teenager")</f>
        <v>Adult</v>
      </c>
      <c r="G63" s="7">
        <v>44899</v>
      </c>
      <c r="H63" s="8" t="str">
        <f t="shared" si="0"/>
        <v>Dec</v>
      </c>
      <c r="I63" s="5" t="s">
        <v>24</v>
      </c>
      <c r="J63" s="9">
        <f t="shared" si="1"/>
        <v>1</v>
      </c>
      <c r="K63" s="5" t="s">
        <v>46</v>
      </c>
      <c r="L63" s="5" t="s">
        <v>224</v>
      </c>
      <c r="M63" s="5" t="s">
        <v>27</v>
      </c>
      <c r="N63" s="5" t="s">
        <v>225</v>
      </c>
      <c r="O63" s="5">
        <v>1</v>
      </c>
      <c r="P63" s="5" t="s">
        <v>29</v>
      </c>
      <c r="Q63" s="5">
        <v>764</v>
      </c>
      <c r="R63" s="5" t="s">
        <v>63</v>
      </c>
      <c r="S63" s="5" t="s">
        <v>64</v>
      </c>
      <c r="T63" s="5">
        <v>560103</v>
      </c>
      <c r="U63" s="5" t="s">
        <v>32</v>
      </c>
      <c r="V63" s="5" t="b">
        <v>0</v>
      </c>
    </row>
    <row r="64" spans="1:22">
      <c r="A64" s="5">
        <v>63</v>
      </c>
      <c r="B64" s="5" t="s">
        <v>226</v>
      </c>
      <c r="C64" s="5">
        <v>824767</v>
      </c>
      <c r="D64" s="5" t="s">
        <v>23</v>
      </c>
      <c r="E64" s="5">
        <v>34</v>
      </c>
      <c r="F64" s="6" t="str" cm="1">
        <f t="array" ref="F64">_xlfn.IFS(E64&gt;=50,"Senior",E64&gt;=30,"Adult",E64&lt;30,"Teenager")</f>
        <v>Adult</v>
      </c>
      <c r="G64" s="7">
        <v>44899</v>
      </c>
      <c r="H64" s="8" t="str">
        <f t="shared" si="0"/>
        <v>Dec</v>
      </c>
      <c r="I64" s="5" t="s">
        <v>24</v>
      </c>
      <c r="J64" s="9">
        <f t="shared" si="1"/>
        <v>1</v>
      </c>
      <c r="K64" s="5" t="s">
        <v>66</v>
      </c>
      <c r="L64" s="5" t="s">
        <v>227</v>
      </c>
      <c r="M64" s="5" t="s">
        <v>27</v>
      </c>
      <c r="N64" s="5" t="s">
        <v>113</v>
      </c>
      <c r="O64" s="5">
        <v>1</v>
      </c>
      <c r="P64" s="5" t="s">
        <v>29</v>
      </c>
      <c r="Q64" s="5">
        <v>688</v>
      </c>
      <c r="R64" s="5" t="s">
        <v>139</v>
      </c>
      <c r="S64" s="5" t="s">
        <v>50</v>
      </c>
      <c r="T64" s="5">
        <v>600061</v>
      </c>
      <c r="U64" s="5" t="s">
        <v>32</v>
      </c>
      <c r="V64" s="5" t="b">
        <v>0</v>
      </c>
    </row>
    <row r="65" spans="1:22">
      <c r="A65" s="5">
        <v>64</v>
      </c>
      <c r="B65" s="5" t="s">
        <v>228</v>
      </c>
      <c r="C65" s="5">
        <v>8169153</v>
      </c>
      <c r="D65" s="5" t="s">
        <v>23</v>
      </c>
      <c r="E65" s="5">
        <v>20</v>
      </c>
      <c r="F65" s="6" t="str" cm="1">
        <f t="array" ref="F65">_xlfn.IFS(E65&gt;=50,"Senior",E65&gt;=30,"Adult",E65&lt;30,"Teenager")</f>
        <v>Teenager</v>
      </c>
      <c r="G65" s="7">
        <v>44899</v>
      </c>
      <c r="H65" s="8" t="str">
        <f t="shared" si="0"/>
        <v>Dec</v>
      </c>
      <c r="I65" s="5" t="s">
        <v>24</v>
      </c>
      <c r="J65" s="9">
        <f t="shared" si="1"/>
        <v>1</v>
      </c>
      <c r="K65" s="5" t="s">
        <v>46</v>
      </c>
      <c r="L65" s="5" t="s">
        <v>229</v>
      </c>
      <c r="M65" s="5" t="s">
        <v>27</v>
      </c>
      <c r="N65" s="5" t="s">
        <v>37</v>
      </c>
      <c r="O65" s="5">
        <v>1</v>
      </c>
      <c r="P65" s="5" t="s">
        <v>29</v>
      </c>
      <c r="Q65" s="5">
        <v>399</v>
      </c>
      <c r="R65" s="5" t="s">
        <v>230</v>
      </c>
      <c r="S65" s="5" t="s">
        <v>64</v>
      </c>
      <c r="T65" s="5">
        <v>560054</v>
      </c>
      <c r="U65" s="5" t="s">
        <v>32</v>
      </c>
      <c r="V65" s="5" t="b">
        <v>0</v>
      </c>
    </row>
    <row r="66" spans="1:22">
      <c r="A66" s="5">
        <v>65</v>
      </c>
      <c r="B66" s="5" t="s">
        <v>231</v>
      </c>
      <c r="C66" s="5">
        <v>5169174</v>
      </c>
      <c r="D66" s="5" t="s">
        <v>23</v>
      </c>
      <c r="E66" s="5">
        <v>44</v>
      </c>
      <c r="F66" s="6" t="str" cm="1">
        <f t="array" ref="F66">_xlfn.IFS(E66&gt;=50,"Senior",E66&gt;=30,"Adult",E66&lt;30,"Teenager")</f>
        <v>Adult</v>
      </c>
      <c r="G66" s="7">
        <v>44899</v>
      </c>
      <c r="H66" s="8" t="str">
        <f t="shared" ref="H66:H129" si="2">TEXT(G66,"MMM")</f>
        <v>Dec</v>
      </c>
      <c r="I66" s="5" t="s">
        <v>232</v>
      </c>
      <c r="J66" s="9">
        <f t="shared" ref="J66:J129" si="3">IF(I66="Delivered",1,0)</f>
        <v>0</v>
      </c>
      <c r="K66" s="5" t="s">
        <v>25</v>
      </c>
      <c r="L66" s="5" t="s">
        <v>233</v>
      </c>
      <c r="M66" s="5" t="s">
        <v>27</v>
      </c>
      <c r="N66" s="5" t="s">
        <v>70</v>
      </c>
      <c r="O66" s="5">
        <v>1</v>
      </c>
      <c r="P66" s="5" t="s">
        <v>29</v>
      </c>
      <c r="Q66" s="5">
        <v>399</v>
      </c>
      <c r="R66" s="5" t="s">
        <v>234</v>
      </c>
      <c r="S66" s="5" t="s">
        <v>60</v>
      </c>
      <c r="T66" s="5">
        <v>421306</v>
      </c>
      <c r="U66" s="5" t="s">
        <v>32</v>
      </c>
      <c r="V66" s="5" t="b">
        <v>0</v>
      </c>
    </row>
    <row r="67" spans="1:22">
      <c r="A67" s="5">
        <v>66</v>
      </c>
      <c r="B67" s="5" t="s">
        <v>235</v>
      </c>
      <c r="C67" s="5">
        <v>2130722</v>
      </c>
      <c r="D67" s="5" t="s">
        <v>23</v>
      </c>
      <c r="E67" s="5">
        <v>24</v>
      </c>
      <c r="F67" s="6" t="str" cm="1">
        <f t="array" ref="F67">_xlfn.IFS(E67&gt;=50,"Senior",E67&gt;=30,"Adult",E67&lt;30,"Teenager")</f>
        <v>Teenager</v>
      </c>
      <c r="G67" s="7">
        <v>44899</v>
      </c>
      <c r="H67" s="8" t="str">
        <f t="shared" si="2"/>
        <v>Dec</v>
      </c>
      <c r="I67" s="5" t="s">
        <v>24</v>
      </c>
      <c r="J67" s="9">
        <f t="shared" si="3"/>
        <v>1</v>
      </c>
      <c r="K67" s="5" t="s">
        <v>25</v>
      </c>
      <c r="L67" s="5" t="s">
        <v>236</v>
      </c>
      <c r="M67" s="5" t="s">
        <v>79</v>
      </c>
      <c r="N67" s="5" t="s">
        <v>42</v>
      </c>
      <c r="O67" s="5">
        <v>1</v>
      </c>
      <c r="P67" s="5" t="s">
        <v>29</v>
      </c>
      <c r="Q67" s="5">
        <v>563</v>
      </c>
      <c r="R67" s="5" t="s">
        <v>148</v>
      </c>
      <c r="S67" s="5" t="s">
        <v>149</v>
      </c>
      <c r="T67" s="5">
        <v>382470</v>
      </c>
      <c r="U67" s="5" t="s">
        <v>32</v>
      </c>
      <c r="V67" s="5" t="b">
        <v>0</v>
      </c>
    </row>
    <row r="68" spans="1:22">
      <c r="A68" s="5">
        <v>67</v>
      </c>
      <c r="B68" s="5" t="s">
        <v>237</v>
      </c>
      <c r="C68" s="5">
        <v>8399604</v>
      </c>
      <c r="D68" s="5" t="s">
        <v>23</v>
      </c>
      <c r="E68" s="5">
        <v>31</v>
      </c>
      <c r="F68" s="6" t="str" cm="1">
        <f t="array" ref="F68">_xlfn.IFS(E68&gt;=50,"Senior",E68&gt;=30,"Adult",E68&lt;30,"Teenager")</f>
        <v>Adult</v>
      </c>
      <c r="G68" s="7">
        <v>44899</v>
      </c>
      <c r="H68" s="8" t="str">
        <f t="shared" si="2"/>
        <v>Dec</v>
      </c>
      <c r="I68" s="5" t="s">
        <v>24</v>
      </c>
      <c r="J68" s="9">
        <f t="shared" si="3"/>
        <v>1</v>
      </c>
      <c r="K68" s="5" t="s">
        <v>46</v>
      </c>
      <c r="L68" s="5" t="s">
        <v>238</v>
      </c>
      <c r="M68" s="5" t="s">
        <v>27</v>
      </c>
      <c r="N68" s="5" t="s">
        <v>70</v>
      </c>
      <c r="O68" s="5">
        <v>1</v>
      </c>
      <c r="P68" s="5" t="s">
        <v>29</v>
      </c>
      <c r="Q68" s="5">
        <v>363</v>
      </c>
      <c r="R68" s="5" t="s">
        <v>43</v>
      </c>
      <c r="S68" s="5" t="s">
        <v>44</v>
      </c>
      <c r="T68" s="5">
        <v>700028</v>
      </c>
      <c r="U68" s="5" t="s">
        <v>32</v>
      </c>
      <c r="V68" s="5" t="b">
        <v>0</v>
      </c>
    </row>
    <row r="69" spans="1:22">
      <c r="A69" s="5">
        <v>68</v>
      </c>
      <c r="B69" s="5" t="s">
        <v>239</v>
      </c>
      <c r="C69" s="5">
        <v>8213196</v>
      </c>
      <c r="D69" s="5" t="s">
        <v>54</v>
      </c>
      <c r="E69" s="5">
        <v>75</v>
      </c>
      <c r="F69" s="6" t="str" cm="1">
        <f t="array" ref="F69">_xlfn.IFS(E69&gt;=50,"Senior",E69&gt;=30,"Adult",E69&lt;30,"Teenager")</f>
        <v>Senior</v>
      </c>
      <c r="G69" s="7">
        <v>44899</v>
      </c>
      <c r="H69" s="8" t="str">
        <f t="shared" si="2"/>
        <v>Dec</v>
      </c>
      <c r="I69" s="5" t="s">
        <v>24</v>
      </c>
      <c r="J69" s="9">
        <f t="shared" si="3"/>
        <v>1</v>
      </c>
      <c r="K69" s="5" t="s">
        <v>25</v>
      </c>
      <c r="L69" s="5" t="s">
        <v>240</v>
      </c>
      <c r="M69" s="5" t="s">
        <v>36</v>
      </c>
      <c r="N69" s="5" t="s">
        <v>42</v>
      </c>
      <c r="O69" s="5">
        <v>1</v>
      </c>
      <c r="P69" s="5" t="s">
        <v>29</v>
      </c>
      <c r="Q69" s="5">
        <v>667</v>
      </c>
      <c r="R69" s="5" t="s">
        <v>241</v>
      </c>
      <c r="S69" s="5" t="s">
        <v>242</v>
      </c>
      <c r="T69" s="5">
        <v>827001</v>
      </c>
      <c r="U69" s="5" t="s">
        <v>32</v>
      </c>
      <c r="V69" s="5" t="b">
        <v>0</v>
      </c>
    </row>
    <row r="70" spans="1:22">
      <c r="A70" s="5">
        <v>69</v>
      </c>
      <c r="B70" s="5" t="s">
        <v>243</v>
      </c>
      <c r="C70" s="5">
        <v>3286680</v>
      </c>
      <c r="D70" s="5" t="s">
        <v>23</v>
      </c>
      <c r="E70" s="5">
        <v>46</v>
      </c>
      <c r="F70" s="6" t="str" cm="1">
        <f t="array" ref="F70">_xlfn.IFS(E70&gt;=50,"Senior",E70&gt;=30,"Adult",E70&lt;30,"Teenager")</f>
        <v>Adult</v>
      </c>
      <c r="G70" s="7">
        <v>44899</v>
      </c>
      <c r="H70" s="8" t="str">
        <f t="shared" si="2"/>
        <v>Dec</v>
      </c>
      <c r="I70" s="5" t="s">
        <v>24</v>
      </c>
      <c r="J70" s="9">
        <f t="shared" si="3"/>
        <v>1</v>
      </c>
      <c r="K70" s="5" t="s">
        <v>25</v>
      </c>
      <c r="L70" s="5" t="s">
        <v>244</v>
      </c>
      <c r="M70" s="5" t="s">
        <v>213</v>
      </c>
      <c r="N70" s="5" t="s">
        <v>214</v>
      </c>
      <c r="O70" s="5">
        <v>1</v>
      </c>
      <c r="P70" s="5" t="s">
        <v>29</v>
      </c>
      <c r="Q70" s="5">
        <v>685</v>
      </c>
      <c r="R70" s="5" t="s">
        <v>245</v>
      </c>
      <c r="S70" s="5" t="s">
        <v>39</v>
      </c>
      <c r="T70" s="5">
        <v>134116</v>
      </c>
      <c r="U70" s="5" t="s">
        <v>32</v>
      </c>
      <c r="V70" s="5" t="b">
        <v>0</v>
      </c>
    </row>
    <row r="71" spans="1:22">
      <c r="A71" s="5">
        <v>70</v>
      </c>
      <c r="B71" s="5" t="s">
        <v>246</v>
      </c>
      <c r="C71" s="5">
        <v>6014983</v>
      </c>
      <c r="D71" s="5" t="s">
        <v>54</v>
      </c>
      <c r="E71" s="5">
        <v>48</v>
      </c>
      <c r="F71" s="6" t="str" cm="1">
        <f t="array" ref="F71">_xlfn.IFS(E71&gt;=50,"Senior",E71&gt;=30,"Adult",E71&lt;30,"Teenager")</f>
        <v>Adult</v>
      </c>
      <c r="G71" s="7">
        <v>44899</v>
      </c>
      <c r="H71" s="8" t="str">
        <f t="shared" si="2"/>
        <v>Dec</v>
      </c>
      <c r="I71" s="5" t="s">
        <v>24</v>
      </c>
      <c r="J71" s="9">
        <f t="shared" si="3"/>
        <v>1</v>
      </c>
      <c r="K71" s="5" t="s">
        <v>25</v>
      </c>
      <c r="L71" s="5" t="s">
        <v>247</v>
      </c>
      <c r="M71" s="5" t="s">
        <v>36</v>
      </c>
      <c r="N71" s="5" t="s">
        <v>42</v>
      </c>
      <c r="O71" s="5">
        <v>1</v>
      </c>
      <c r="P71" s="5" t="s">
        <v>29</v>
      </c>
      <c r="Q71" s="5">
        <v>852</v>
      </c>
      <c r="R71" s="5" t="s">
        <v>173</v>
      </c>
      <c r="S71" s="5" t="s">
        <v>60</v>
      </c>
      <c r="T71" s="5">
        <v>411021</v>
      </c>
      <c r="U71" s="5" t="s">
        <v>32</v>
      </c>
      <c r="V71" s="5" t="b">
        <v>0</v>
      </c>
    </row>
    <row r="72" spans="1:22">
      <c r="A72" s="5">
        <v>71</v>
      </c>
      <c r="B72" s="5" t="s">
        <v>248</v>
      </c>
      <c r="C72" s="5">
        <v>6950860</v>
      </c>
      <c r="D72" s="5" t="s">
        <v>23</v>
      </c>
      <c r="E72" s="5">
        <v>26</v>
      </c>
      <c r="F72" s="6" t="str" cm="1">
        <f t="array" ref="F72">_xlfn.IFS(E72&gt;=50,"Senior",E72&gt;=30,"Adult",E72&lt;30,"Teenager")</f>
        <v>Teenager</v>
      </c>
      <c r="G72" s="7">
        <v>44899</v>
      </c>
      <c r="H72" s="8" t="str">
        <f t="shared" si="2"/>
        <v>Dec</v>
      </c>
      <c r="I72" s="5" t="s">
        <v>24</v>
      </c>
      <c r="J72" s="9">
        <f t="shared" si="3"/>
        <v>1</v>
      </c>
      <c r="K72" s="5" t="s">
        <v>46</v>
      </c>
      <c r="L72" s="5" t="s">
        <v>249</v>
      </c>
      <c r="M72" s="5" t="s">
        <v>213</v>
      </c>
      <c r="N72" s="5" t="s">
        <v>214</v>
      </c>
      <c r="O72" s="5">
        <v>1</v>
      </c>
      <c r="P72" s="5" t="s">
        <v>29</v>
      </c>
      <c r="Q72" s="5">
        <v>1075</v>
      </c>
      <c r="R72" s="5" t="s">
        <v>250</v>
      </c>
      <c r="S72" s="5" t="s">
        <v>251</v>
      </c>
      <c r="T72" s="5">
        <v>801113</v>
      </c>
      <c r="U72" s="5" t="s">
        <v>32</v>
      </c>
      <c r="V72" s="5" t="b">
        <v>0</v>
      </c>
    </row>
    <row r="73" spans="1:22">
      <c r="A73" s="5">
        <v>72</v>
      </c>
      <c r="B73" s="5" t="s">
        <v>252</v>
      </c>
      <c r="C73" s="5">
        <v>7030051</v>
      </c>
      <c r="D73" s="5" t="s">
        <v>23</v>
      </c>
      <c r="E73" s="5">
        <v>36</v>
      </c>
      <c r="F73" s="6" t="str" cm="1">
        <f t="array" ref="F73">_xlfn.IFS(E73&gt;=50,"Senior",E73&gt;=30,"Adult",E73&lt;30,"Teenager")</f>
        <v>Adult</v>
      </c>
      <c r="G73" s="7">
        <v>44899</v>
      </c>
      <c r="H73" s="8" t="str">
        <f t="shared" si="2"/>
        <v>Dec</v>
      </c>
      <c r="I73" s="5" t="s">
        <v>24</v>
      </c>
      <c r="J73" s="9">
        <f t="shared" si="3"/>
        <v>1</v>
      </c>
      <c r="K73" s="5" t="s">
        <v>25</v>
      </c>
      <c r="L73" s="5" t="s">
        <v>253</v>
      </c>
      <c r="M73" s="5" t="s">
        <v>27</v>
      </c>
      <c r="N73" s="5" t="s">
        <v>28</v>
      </c>
      <c r="O73" s="5">
        <v>1</v>
      </c>
      <c r="P73" s="5" t="s">
        <v>29</v>
      </c>
      <c r="Q73" s="5">
        <v>563</v>
      </c>
      <c r="R73" s="5" t="s">
        <v>94</v>
      </c>
      <c r="S73" s="5" t="s">
        <v>95</v>
      </c>
      <c r="T73" s="5">
        <v>110084</v>
      </c>
      <c r="U73" s="5" t="s">
        <v>32</v>
      </c>
      <c r="V73" s="5" t="b">
        <v>0</v>
      </c>
    </row>
    <row r="74" spans="1:22">
      <c r="A74" s="5">
        <v>73</v>
      </c>
      <c r="B74" s="5" t="s">
        <v>254</v>
      </c>
      <c r="C74" s="5">
        <v>6041386</v>
      </c>
      <c r="D74" s="5" t="s">
        <v>54</v>
      </c>
      <c r="E74" s="5">
        <v>23</v>
      </c>
      <c r="F74" s="6" t="str" cm="1">
        <f t="array" ref="F74">_xlfn.IFS(E74&gt;=50,"Senior",E74&gt;=30,"Adult",E74&lt;30,"Teenager")</f>
        <v>Teenager</v>
      </c>
      <c r="G74" s="7">
        <v>44899</v>
      </c>
      <c r="H74" s="8" t="str">
        <f t="shared" si="2"/>
        <v>Dec</v>
      </c>
      <c r="I74" s="5" t="s">
        <v>24</v>
      </c>
      <c r="J74" s="9">
        <f t="shared" si="3"/>
        <v>1</v>
      </c>
      <c r="K74" s="5" t="s">
        <v>55</v>
      </c>
      <c r="L74" s="5" t="s">
        <v>255</v>
      </c>
      <c r="M74" s="5" t="s">
        <v>36</v>
      </c>
      <c r="N74" s="5" t="s">
        <v>28</v>
      </c>
      <c r="O74" s="5">
        <v>1</v>
      </c>
      <c r="P74" s="5" t="s">
        <v>29</v>
      </c>
      <c r="Q74" s="5">
        <v>1072</v>
      </c>
      <c r="R74" s="5" t="s">
        <v>234</v>
      </c>
      <c r="S74" s="5" t="s">
        <v>60</v>
      </c>
      <c r="T74" s="5">
        <v>421201</v>
      </c>
      <c r="U74" s="5" t="s">
        <v>32</v>
      </c>
      <c r="V74" s="5" t="b">
        <v>0</v>
      </c>
    </row>
    <row r="75" spans="1:22">
      <c r="A75" s="5">
        <v>74</v>
      </c>
      <c r="B75" s="5" t="s">
        <v>256</v>
      </c>
      <c r="C75" s="5">
        <v>7958450</v>
      </c>
      <c r="D75" s="5" t="s">
        <v>54</v>
      </c>
      <c r="E75" s="5">
        <v>32</v>
      </c>
      <c r="F75" s="6" t="str" cm="1">
        <f t="array" ref="F75">_xlfn.IFS(E75&gt;=50,"Senior",E75&gt;=30,"Adult",E75&lt;30,"Teenager")</f>
        <v>Adult</v>
      </c>
      <c r="G75" s="7">
        <v>44899</v>
      </c>
      <c r="H75" s="8" t="str">
        <f t="shared" si="2"/>
        <v>Dec</v>
      </c>
      <c r="I75" s="5" t="s">
        <v>24</v>
      </c>
      <c r="J75" s="9">
        <f t="shared" si="3"/>
        <v>1</v>
      </c>
      <c r="K75" s="5" t="s">
        <v>46</v>
      </c>
      <c r="L75" s="5" t="s">
        <v>257</v>
      </c>
      <c r="M75" s="5" t="s">
        <v>36</v>
      </c>
      <c r="N75" s="5" t="s">
        <v>102</v>
      </c>
      <c r="O75" s="5">
        <v>1</v>
      </c>
      <c r="P75" s="5" t="s">
        <v>29</v>
      </c>
      <c r="Q75" s="5">
        <v>702</v>
      </c>
      <c r="R75" s="5" t="s">
        <v>258</v>
      </c>
      <c r="S75" s="5" t="s">
        <v>64</v>
      </c>
      <c r="T75" s="5">
        <v>560095</v>
      </c>
      <c r="U75" s="5" t="s">
        <v>32</v>
      </c>
      <c r="V75" s="5" t="b">
        <v>0</v>
      </c>
    </row>
    <row r="76" spans="1:22">
      <c r="A76" s="5">
        <v>75</v>
      </c>
      <c r="B76" s="5" t="s">
        <v>259</v>
      </c>
      <c r="C76" s="5">
        <v>7814128</v>
      </c>
      <c r="D76" s="5" t="s">
        <v>23</v>
      </c>
      <c r="E76" s="5">
        <v>26</v>
      </c>
      <c r="F76" s="6" t="str" cm="1">
        <f t="array" ref="F76">_xlfn.IFS(E76&gt;=50,"Senior",E76&gt;=30,"Adult",E76&lt;30,"Teenager")</f>
        <v>Teenager</v>
      </c>
      <c r="G76" s="7">
        <v>44899</v>
      </c>
      <c r="H76" s="8" t="str">
        <f t="shared" si="2"/>
        <v>Dec</v>
      </c>
      <c r="I76" s="5" t="s">
        <v>24</v>
      </c>
      <c r="J76" s="9">
        <f t="shared" si="3"/>
        <v>1</v>
      </c>
      <c r="K76" s="5" t="s">
        <v>92</v>
      </c>
      <c r="L76" s="5" t="s">
        <v>260</v>
      </c>
      <c r="M76" s="5" t="s">
        <v>213</v>
      </c>
      <c r="N76" s="5" t="s">
        <v>214</v>
      </c>
      <c r="O76" s="5">
        <v>1</v>
      </c>
      <c r="P76" s="5" t="s">
        <v>29</v>
      </c>
      <c r="Q76" s="5">
        <v>476</v>
      </c>
      <c r="R76" s="5" t="s">
        <v>261</v>
      </c>
      <c r="S76" s="5" t="s">
        <v>60</v>
      </c>
      <c r="T76" s="5">
        <v>400705</v>
      </c>
      <c r="U76" s="5" t="s">
        <v>32</v>
      </c>
      <c r="V76" s="5" t="b">
        <v>0</v>
      </c>
    </row>
    <row r="77" spans="1:22">
      <c r="A77" s="5">
        <v>76</v>
      </c>
      <c r="B77" s="5" t="s">
        <v>262</v>
      </c>
      <c r="C77" s="5">
        <v>9793483</v>
      </c>
      <c r="D77" s="5" t="s">
        <v>54</v>
      </c>
      <c r="E77" s="5">
        <v>45</v>
      </c>
      <c r="F77" s="6" t="str" cm="1">
        <f t="array" ref="F77">_xlfn.IFS(E77&gt;=50,"Senior",E77&gt;=30,"Adult",E77&lt;30,"Teenager")</f>
        <v>Adult</v>
      </c>
      <c r="G77" s="7">
        <v>44899</v>
      </c>
      <c r="H77" s="8" t="str">
        <f t="shared" si="2"/>
        <v>Dec</v>
      </c>
      <c r="I77" s="5" t="s">
        <v>24</v>
      </c>
      <c r="J77" s="9">
        <f t="shared" si="3"/>
        <v>1</v>
      </c>
      <c r="K77" s="5" t="s">
        <v>25</v>
      </c>
      <c r="L77" s="5" t="s">
        <v>263</v>
      </c>
      <c r="M77" s="5" t="s">
        <v>36</v>
      </c>
      <c r="N77" s="5" t="s">
        <v>70</v>
      </c>
      <c r="O77" s="5">
        <v>1</v>
      </c>
      <c r="P77" s="5" t="s">
        <v>29</v>
      </c>
      <c r="Q77" s="5">
        <v>597</v>
      </c>
      <c r="R77" s="5" t="s">
        <v>63</v>
      </c>
      <c r="S77" s="5" t="s">
        <v>64</v>
      </c>
      <c r="T77" s="5">
        <v>560021</v>
      </c>
      <c r="U77" s="5" t="s">
        <v>32</v>
      </c>
      <c r="V77" s="5" t="b">
        <v>0</v>
      </c>
    </row>
    <row r="78" spans="1:22">
      <c r="A78" s="5">
        <v>77</v>
      </c>
      <c r="B78" s="5" t="s">
        <v>264</v>
      </c>
      <c r="C78" s="5">
        <v>5297818</v>
      </c>
      <c r="D78" s="5" t="s">
        <v>23</v>
      </c>
      <c r="E78" s="5">
        <v>49</v>
      </c>
      <c r="F78" s="6" t="str" cm="1">
        <f t="array" ref="F78">_xlfn.IFS(E78&gt;=50,"Senior",E78&gt;=30,"Adult",E78&lt;30,"Teenager")</f>
        <v>Adult</v>
      </c>
      <c r="G78" s="7">
        <v>44899</v>
      </c>
      <c r="H78" s="8" t="str">
        <f t="shared" si="2"/>
        <v>Dec</v>
      </c>
      <c r="I78" s="5" t="s">
        <v>24</v>
      </c>
      <c r="J78" s="9">
        <f t="shared" si="3"/>
        <v>1</v>
      </c>
      <c r="K78" s="5" t="s">
        <v>55</v>
      </c>
      <c r="L78" s="5" t="s">
        <v>265</v>
      </c>
      <c r="M78" s="5" t="s">
        <v>36</v>
      </c>
      <c r="N78" s="5" t="s">
        <v>70</v>
      </c>
      <c r="O78" s="5">
        <v>1</v>
      </c>
      <c r="P78" s="5" t="s">
        <v>29</v>
      </c>
      <c r="Q78" s="5">
        <v>969</v>
      </c>
      <c r="R78" s="5" t="s">
        <v>266</v>
      </c>
      <c r="S78" s="5" t="s">
        <v>77</v>
      </c>
      <c r="T78" s="5">
        <v>695141</v>
      </c>
      <c r="U78" s="5" t="s">
        <v>32</v>
      </c>
      <c r="V78" s="5" t="b">
        <v>0</v>
      </c>
    </row>
    <row r="79" spans="1:22">
      <c r="A79" s="5">
        <v>78</v>
      </c>
      <c r="B79" s="5" t="s">
        <v>267</v>
      </c>
      <c r="C79" s="5">
        <v>2070545</v>
      </c>
      <c r="D79" s="5" t="s">
        <v>23</v>
      </c>
      <c r="E79" s="5">
        <v>21</v>
      </c>
      <c r="F79" s="6" t="str" cm="1">
        <f t="array" ref="F79">_xlfn.IFS(E79&gt;=50,"Senior",E79&gt;=30,"Adult",E79&lt;30,"Teenager")</f>
        <v>Teenager</v>
      </c>
      <c r="G79" s="7">
        <v>44899</v>
      </c>
      <c r="H79" s="8" t="str">
        <f t="shared" si="2"/>
        <v>Dec</v>
      </c>
      <c r="I79" s="5" t="s">
        <v>24</v>
      </c>
      <c r="J79" s="9">
        <f t="shared" si="3"/>
        <v>1</v>
      </c>
      <c r="K79" s="5" t="s">
        <v>55</v>
      </c>
      <c r="L79" s="5" t="s">
        <v>268</v>
      </c>
      <c r="M79" s="5" t="s">
        <v>36</v>
      </c>
      <c r="N79" s="5" t="s">
        <v>102</v>
      </c>
      <c r="O79" s="5">
        <v>1</v>
      </c>
      <c r="P79" s="5" t="s">
        <v>29</v>
      </c>
      <c r="Q79" s="5">
        <v>801</v>
      </c>
      <c r="R79" s="5" t="s">
        <v>269</v>
      </c>
      <c r="S79" s="5" t="s">
        <v>104</v>
      </c>
      <c r="T79" s="5">
        <v>334001</v>
      </c>
      <c r="U79" s="5" t="s">
        <v>32</v>
      </c>
      <c r="V79" s="5" t="b">
        <v>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2026-03-23T20:08:56Z</dcterms:created>
  <dcterms:modified xsi:type="dcterms:W3CDTF">2026-03-23T20:14:55Z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0AB7E4E97D234CAD9AA7A10641B3A041_13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